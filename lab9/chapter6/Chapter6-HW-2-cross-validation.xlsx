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1018DE38-81AC-493C-8E1E-6587F2BED1D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R-log-likelihoods" sheetId="1" r:id="rId1"/>
    <sheet name="Question" sheetId="6" r:id="rId2"/>
    <sheet name="LR-log-loss" sheetId="5" r:id="rId3"/>
  </sheets>
  <definedNames>
    <definedName name="Heart_disease_processed_cleveland___Copy" localSheetId="0">'LR-log-likelihoods'!$A$6:$N$221</definedName>
    <definedName name="Heart_disease_processed_cleveland___Copy" localSheetId="2">'LR-log-loss'!$A$6:$N$221</definedName>
    <definedName name="solver_adj" localSheetId="0" hidden="1">'LR-log-likelihoods'!$A$4:$N$4</definedName>
    <definedName name="solver_adj" localSheetId="2" hidden="1">'LR-log-loss'!$A$4:$N$4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est" localSheetId="0" hidden="1">1</definedName>
    <definedName name="solver_est" localSheetId="2" hidden="1">1</definedName>
    <definedName name="solver_itr" localSheetId="0" hidden="1">1000</definedName>
    <definedName name="solver_itr" localSheetId="2" hidden="1">1000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2</definedName>
    <definedName name="solver_neg" localSheetId="2" hidden="1">2</definedName>
    <definedName name="solver_nod" localSheetId="0" hidden="1">2147483647</definedName>
    <definedName name="solver_nod" localSheetId="2" hidden="1">2147483647</definedName>
    <definedName name="solver_num" localSheetId="0" hidden="1">0</definedName>
    <definedName name="solver_num" localSheetId="2" hidden="1">0</definedName>
    <definedName name="solver_nwt" localSheetId="0" hidden="1">1</definedName>
    <definedName name="solver_nwt" localSheetId="2" hidden="1">1</definedName>
    <definedName name="solver_opt" localSheetId="0" hidden="1">'LR-log-likelihoods'!$U$6</definedName>
    <definedName name="solver_opt" localSheetId="2" hidden="1">'LR-log-loss'!$T$1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0.001</definedName>
    <definedName name="solver_tol" localSheetId="2" hidden="1">0.001</definedName>
    <definedName name="solver_typ" localSheetId="0" hidden="1">2</definedName>
    <definedName name="solver_typ" localSheetId="2" hidden="1">1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V6" i="1"/>
  <c r="O225" i="1"/>
  <c r="P225" i="1" s="1"/>
  <c r="Q225" i="1" s="1"/>
  <c r="R225" i="1" s="1"/>
  <c r="O226" i="1"/>
  <c r="P226" i="1"/>
  <c r="Q226" i="1"/>
  <c r="R226" i="1"/>
  <c r="O227" i="1"/>
  <c r="P227" i="1"/>
  <c r="Q227" i="1"/>
  <c r="R227" i="1"/>
  <c r="O228" i="1"/>
  <c r="P228" i="1" s="1"/>
  <c r="Q228" i="1" s="1"/>
  <c r="R228" i="1" s="1"/>
  <c r="O229" i="1"/>
  <c r="P229" i="1"/>
  <c r="Q229" i="1"/>
  <c r="R229" i="1"/>
  <c r="O230" i="1"/>
  <c r="P230" i="1"/>
  <c r="Q230" i="1"/>
  <c r="R230" i="1"/>
  <c r="O231" i="1"/>
  <c r="P231" i="1" s="1"/>
  <c r="Q231" i="1" s="1"/>
  <c r="R231" i="1" s="1"/>
  <c r="O232" i="1"/>
  <c r="P232" i="1"/>
  <c r="Q232" i="1"/>
  <c r="R232" i="1"/>
  <c r="O233" i="1"/>
  <c r="P233" i="1"/>
  <c r="Q233" i="1"/>
  <c r="R233" i="1"/>
  <c r="O234" i="1"/>
  <c r="P234" i="1" s="1"/>
  <c r="Q234" i="1" s="1"/>
  <c r="R234" i="1" s="1"/>
  <c r="O235" i="1"/>
  <c r="P235" i="1"/>
  <c r="Q235" i="1"/>
  <c r="R235" i="1"/>
  <c r="O236" i="1"/>
  <c r="P236" i="1"/>
  <c r="Q236" i="1"/>
  <c r="R236" i="1"/>
  <c r="O237" i="1"/>
  <c r="P237" i="1" s="1"/>
  <c r="Q237" i="1" s="1"/>
  <c r="R237" i="1" s="1"/>
  <c r="O238" i="1"/>
  <c r="P238" i="1"/>
  <c r="Q238" i="1"/>
  <c r="R238" i="1"/>
  <c r="O239" i="1"/>
  <c r="P239" i="1"/>
  <c r="Q239" i="1"/>
  <c r="R239" i="1"/>
  <c r="O240" i="1"/>
  <c r="P240" i="1" s="1"/>
  <c r="Q240" i="1" s="1"/>
  <c r="R240" i="1" s="1"/>
  <c r="O241" i="1"/>
  <c r="P241" i="1"/>
  <c r="Q241" i="1"/>
  <c r="R241" i="1"/>
  <c r="O242" i="1"/>
  <c r="P242" i="1"/>
  <c r="Q242" i="1"/>
  <c r="R242" i="1"/>
  <c r="O243" i="1"/>
  <c r="P243" i="1" s="1"/>
  <c r="Q243" i="1" s="1"/>
  <c r="R243" i="1" s="1"/>
  <c r="O244" i="1"/>
  <c r="P244" i="1"/>
  <c r="Q244" i="1"/>
  <c r="R244" i="1"/>
  <c r="O245" i="1"/>
  <c r="P245" i="1"/>
  <c r="Q245" i="1"/>
  <c r="R245" i="1"/>
  <c r="O246" i="1"/>
  <c r="P246" i="1" s="1"/>
  <c r="Q246" i="1" s="1"/>
  <c r="R246" i="1" s="1"/>
  <c r="O247" i="1"/>
  <c r="P247" i="1"/>
  <c r="Q247" i="1"/>
  <c r="R247" i="1"/>
  <c r="O248" i="1"/>
  <c r="P248" i="1"/>
  <c r="Q248" i="1"/>
  <c r="R248" i="1"/>
  <c r="O249" i="1"/>
  <c r="P249" i="1" s="1"/>
  <c r="Q249" i="1" s="1"/>
  <c r="R249" i="1" s="1"/>
  <c r="O250" i="1"/>
  <c r="P250" i="1"/>
  <c r="Q250" i="1"/>
  <c r="R250" i="1"/>
  <c r="O251" i="1"/>
  <c r="P251" i="1"/>
  <c r="Q251" i="1"/>
  <c r="R251" i="1"/>
  <c r="O252" i="1"/>
  <c r="P252" i="1" s="1"/>
  <c r="Q252" i="1" s="1"/>
  <c r="R252" i="1" s="1"/>
  <c r="O253" i="1"/>
  <c r="P253" i="1"/>
  <c r="Q253" i="1"/>
  <c r="R253" i="1"/>
  <c r="O254" i="1"/>
  <c r="P254" i="1"/>
  <c r="Q254" i="1"/>
  <c r="R254" i="1"/>
  <c r="O255" i="1"/>
  <c r="P255" i="1" s="1"/>
  <c r="Q255" i="1" s="1"/>
  <c r="R255" i="1" s="1"/>
  <c r="O256" i="1"/>
  <c r="P256" i="1"/>
  <c r="Q256" i="1"/>
  <c r="R256" i="1"/>
  <c r="O257" i="1"/>
  <c r="P257" i="1"/>
  <c r="Q257" i="1"/>
  <c r="R257" i="1"/>
  <c r="O258" i="1"/>
  <c r="P258" i="1" s="1"/>
  <c r="Q258" i="1" s="1"/>
  <c r="R258" i="1" s="1"/>
  <c r="O259" i="1"/>
  <c r="P259" i="1"/>
  <c r="Q259" i="1"/>
  <c r="R259" i="1"/>
  <c r="O260" i="1"/>
  <c r="P260" i="1"/>
  <c r="Q260" i="1"/>
  <c r="R260" i="1"/>
  <c r="O261" i="1"/>
  <c r="P261" i="1" s="1"/>
  <c r="Q261" i="1" s="1"/>
  <c r="R261" i="1" s="1"/>
  <c r="O262" i="1"/>
  <c r="P262" i="1"/>
  <c r="Q262" i="1"/>
  <c r="R262" i="1"/>
  <c r="O263" i="1"/>
  <c r="P263" i="1"/>
  <c r="Q263" i="1"/>
  <c r="R263" i="1"/>
  <c r="O264" i="1"/>
  <c r="P264" i="1" s="1"/>
  <c r="Q264" i="1" s="1"/>
  <c r="R264" i="1" s="1"/>
  <c r="O265" i="1"/>
  <c r="P265" i="1"/>
  <c r="Q265" i="1"/>
  <c r="R265" i="1"/>
  <c r="O266" i="1"/>
  <c r="P266" i="1"/>
  <c r="Q266" i="1"/>
  <c r="R266" i="1"/>
  <c r="O267" i="1"/>
  <c r="P267" i="1" s="1"/>
  <c r="Q267" i="1" s="1"/>
  <c r="R267" i="1" s="1"/>
  <c r="O268" i="1"/>
  <c r="P268" i="1"/>
  <c r="Q268" i="1"/>
  <c r="R268" i="1"/>
  <c r="O269" i="1"/>
  <c r="P269" i="1"/>
  <c r="Q269" i="1"/>
  <c r="R269" i="1"/>
  <c r="O270" i="1"/>
  <c r="P270" i="1" s="1"/>
  <c r="Q270" i="1" s="1"/>
  <c r="R270" i="1" s="1"/>
  <c r="O271" i="1"/>
  <c r="P271" i="1"/>
  <c r="Q271" i="1"/>
  <c r="R271" i="1"/>
  <c r="O272" i="1"/>
  <c r="P272" i="1"/>
  <c r="Q272" i="1"/>
  <c r="R272" i="1"/>
  <c r="O273" i="1"/>
  <c r="P273" i="1" s="1"/>
  <c r="Q273" i="1" s="1"/>
  <c r="R273" i="1" s="1"/>
  <c r="O274" i="1"/>
  <c r="P274" i="1"/>
  <c r="Q274" i="1"/>
  <c r="R274" i="1"/>
  <c r="O275" i="1"/>
  <c r="P275" i="1"/>
  <c r="Q275" i="1"/>
  <c r="R275" i="1"/>
  <c r="O276" i="1"/>
  <c r="P276" i="1" s="1"/>
  <c r="Q276" i="1" s="1"/>
  <c r="R276" i="1" s="1"/>
  <c r="O277" i="1"/>
  <c r="P277" i="1"/>
  <c r="Q277" i="1"/>
  <c r="R277" i="1"/>
  <c r="O278" i="1"/>
  <c r="P278" i="1"/>
  <c r="Q278" i="1"/>
  <c r="R278" i="1"/>
  <c r="O279" i="1"/>
  <c r="P279" i="1" s="1"/>
  <c r="Q279" i="1" s="1"/>
  <c r="R279" i="1" s="1"/>
  <c r="O280" i="1"/>
  <c r="P280" i="1"/>
  <c r="Q280" i="1"/>
  <c r="R280" i="1"/>
  <c r="O281" i="1"/>
  <c r="P281" i="1"/>
  <c r="Q281" i="1"/>
  <c r="R281" i="1"/>
  <c r="O282" i="1"/>
  <c r="P282" i="1" s="1"/>
  <c r="Q282" i="1" s="1"/>
  <c r="R282" i="1" s="1"/>
  <c r="O283" i="1"/>
  <c r="P283" i="1"/>
  <c r="Q283" i="1"/>
  <c r="R283" i="1"/>
  <c r="O284" i="1"/>
  <c r="P284" i="1"/>
  <c r="Q284" i="1"/>
  <c r="R284" i="1"/>
  <c r="O285" i="1"/>
  <c r="P285" i="1" s="1"/>
  <c r="Q285" i="1" s="1"/>
  <c r="R285" i="1" s="1"/>
  <c r="O286" i="1"/>
  <c r="P286" i="1"/>
  <c r="Q286" i="1"/>
  <c r="R286" i="1"/>
  <c r="O287" i="1"/>
  <c r="P287" i="1"/>
  <c r="Q287" i="1"/>
  <c r="R287" i="1"/>
  <c r="O288" i="1"/>
  <c r="P288" i="1" s="1"/>
  <c r="Q288" i="1" s="1"/>
  <c r="R288" i="1" s="1"/>
  <c r="O289" i="1"/>
  <c r="P289" i="1"/>
  <c r="Q289" i="1"/>
  <c r="R289" i="1"/>
  <c r="O290" i="1"/>
  <c r="P290" i="1"/>
  <c r="Q290" i="1"/>
  <c r="R290" i="1"/>
  <c r="O291" i="1"/>
  <c r="P291" i="1" s="1"/>
  <c r="Q291" i="1" s="1"/>
  <c r="R291" i="1" s="1"/>
  <c r="O292" i="1"/>
  <c r="P292" i="1"/>
  <c r="Q292" i="1"/>
  <c r="R292" i="1"/>
  <c r="O293" i="1"/>
  <c r="P293" i="1"/>
  <c r="Q293" i="1"/>
  <c r="R293" i="1"/>
  <c r="O294" i="1"/>
  <c r="P294" i="1" s="1"/>
  <c r="Q294" i="1" s="1"/>
  <c r="R294" i="1" s="1"/>
  <c r="O295" i="1"/>
  <c r="P295" i="1"/>
  <c r="Q295" i="1"/>
  <c r="R295" i="1"/>
  <c r="O296" i="1"/>
  <c r="P296" i="1"/>
  <c r="Q296" i="1"/>
  <c r="R296" i="1"/>
  <c r="O297" i="1"/>
  <c r="P297" i="1" s="1"/>
  <c r="Q297" i="1" s="1"/>
  <c r="R297" i="1" s="1"/>
  <c r="O298" i="1"/>
  <c r="P298" i="1"/>
  <c r="Q298" i="1"/>
  <c r="R298" i="1"/>
  <c r="O299" i="1"/>
  <c r="P299" i="1"/>
  <c r="Q299" i="1"/>
  <c r="R299" i="1"/>
  <c r="O300" i="1"/>
  <c r="P300" i="1" s="1"/>
  <c r="Q300" i="1" s="1"/>
  <c r="R300" i="1" s="1"/>
  <c r="O301" i="1"/>
  <c r="P301" i="1"/>
  <c r="Q301" i="1"/>
  <c r="R301" i="1"/>
  <c r="O302" i="1"/>
  <c r="P302" i="1"/>
  <c r="Q302" i="1"/>
  <c r="R302" i="1"/>
  <c r="O303" i="1"/>
  <c r="P303" i="1" s="1"/>
  <c r="Q303" i="1" s="1"/>
  <c r="R303" i="1" s="1"/>
  <c r="O304" i="1"/>
  <c r="P304" i="1"/>
  <c r="Q304" i="1"/>
  <c r="R304" i="1"/>
  <c r="O305" i="1"/>
  <c r="P305" i="1"/>
  <c r="Q305" i="1"/>
  <c r="R305" i="1"/>
  <c r="O306" i="1"/>
  <c r="P306" i="1" s="1"/>
  <c r="Q306" i="1" s="1"/>
  <c r="R306" i="1" s="1"/>
  <c r="P220" i="1"/>
  <c r="Q220" i="1" s="1"/>
  <c r="R220" i="1" s="1"/>
  <c r="P221" i="1"/>
  <c r="Q221" i="1" s="1"/>
  <c r="R221" i="1" s="1"/>
  <c r="P222" i="1"/>
  <c r="Q222" i="1"/>
  <c r="R222" i="1"/>
  <c r="P224" i="1"/>
  <c r="Q224" i="1" s="1"/>
  <c r="R224" i="1" s="1"/>
  <c r="O220" i="1"/>
  <c r="O221" i="1"/>
  <c r="O222" i="1"/>
  <c r="O224" i="1"/>
  <c r="O17" i="1"/>
  <c r="P17" i="1" s="1"/>
  <c r="S17" i="1" s="1"/>
  <c r="T17" i="1" s="1"/>
  <c r="O208" i="1" l="1"/>
  <c r="P208" i="1" s="1"/>
  <c r="Q208" i="1" s="1"/>
  <c r="R208" i="1" s="1"/>
  <c r="O169" i="1"/>
  <c r="P169" i="1" s="1"/>
  <c r="Q169" i="1" s="1"/>
  <c r="R169" i="1" s="1"/>
  <c r="O130" i="1"/>
  <c r="P130" i="1" s="1"/>
  <c r="S130" i="1" s="1"/>
  <c r="T130" i="1" s="1"/>
  <c r="O86" i="1"/>
  <c r="P86" i="1" s="1"/>
  <c r="S86" i="1" s="1"/>
  <c r="T86" i="1" s="1"/>
  <c r="O47" i="1"/>
  <c r="P47" i="1" s="1"/>
  <c r="S47" i="1" s="1"/>
  <c r="T47" i="1" s="1"/>
  <c r="O207" i="1"/>
  <c r="P207" i="1" s="1"/>
  <c r="S207" i="1" s="1"/>
  <c r="T207" i="1" s="1"/>
  <c r="O124" i="1"/>
  <c r="P124" i="1" s="1"/>
  <c r="S124" i="1" s="1"/>
  <c r="T124" i="1" s="1"/>
  <c r="O46" i="1"/>
  <c r="P46" i="1" s="1"/>
  <c r="Q46" i="1" s="1"/>
  <c r="R46" i="1" s="1"/>
  <c r="O184" i="1"/>
  <c r="P184" i="1" s="1"/>
  <c r="S184" i="1" s="1"/>
  <c r="T184" i="1" s="1"/>
  <c r="O106" i="1"/>
  <c r="P106" i="1" s="1"/>
  <c r="S106" i="1" s="1"/>
  <c r="T106" i="1" s="1"/>
  <c r="O40" i="1"/>
  <c r="P40" i="1" s="1"/>
  <c r="S40" i="1" s="1"/>
  <c r="T40" i="1" s="1"/>
  <c r="O166" i="1"/>
  <c r="P166" i="1" s="1"/>
  <c r="S166" i="1" s="1"/>
  <c r="T166" i="1" s="1"/>
  <c r="O100" i="1"/>
  <c r="P100" i="1" s="1"/>
  <c r="Q100" i="1" s="1"/>
  <c r="R100" i="1" s="1"/>
  <c r="O16" i="1"/>
  <c r="P16" i="1" s="1"/>
  <c r="S16" i="1" s="1"/>
  <c r="T16" i="1" s="1"/>
  <c r="O160" i="1"/>
  <c r="P160" i="1" s="1"/>
  <c r="Q160" i="1" s="1"/>
  <c r="R160" i="1" s="1"/>
  <c r="O99" i="1"/>
  <c r="P99" i="1" s="1"/>
  <c r="Q99" i="1" s="1"/>
  <c r="R99" i="1" s="1"/>
  <c r="O38" i="1"/>
  <c r="P38" i="1" s="1"/>
  <c r="Q38" i="1" s="1"/>
  <c r="R38" i="1" s="1"/>
  <c r="O159" i="1"/>
  <c r="P159" i="1" s="1"/>
  <c r="S159" i="1" s="1"/>
  <c r="T159" i="1" s="1"/>
  <c r="O98" i="1"/>
  <c r="P98" i="1" s="1"/>
  <c r="S98" i="1" s="1"/>
  <c r="T98" i="1" s="1"/>
  <c r="O37" i="1"/>
  <c r="P37" i="1" s="1"/>
  <c r="Q37" i="1" s="1"/>
  <c r="R37" i="1" s="1"/>
  <c r="O180" i="1"/>
  <c r="P180" i="1" s="1"/>
  <c r="S180" i="1" s="1"/>
  <c r="T180" i="1" s="1"/>
  <c r="O97" i="1"/>
  <c r="P97" i="1" s="1"/>
  <c r="S97" i="1" s="1"/>
  <c r="T97" i="1" s="1"/>
  <c r="O36" i="1"/>
  <c r="P36" i="1" s="1"/>
  <c r="S36" i="1" s="1"/>
  <c r="T36" i="1" s="1"/>
  <c r="O196" i="1"/>
  <c r="P196" i="1" s="1"/>
  <c r="Q196" i="1" s="1"/>
  <c r="R196" i="1" s="1"/>
  <c r="O118" i="1"/>
  <c r="P118" i="1" s="1"/>
  <c r="Q118" i="1" s="1"/>
  <c r="R118" i="1" s="1"/>
  <c r="O35" i="1"/>
  <c r="P35" i="1" s="1"/>
  <c r="Q35" i="1" s="1"/>
  <c r="R35" i="1" s="1"/>
  <c r="O178" i="1"/>
  <c r="P178" i="1" s="1"/>
  <c r="S178" i="1" s="1"/>
  <c r="T178" i="1" s="1"/>
  <c r="O112" i="1"/>
  <c r="P112" i="1" s="1"/>
  <c r="S112" i="1" s="1"/>
  <c r="T112" i="1" s="1"/>
  <c r="O73" i="1"/>
  <c r="P73" i="1" s="1"/>
  <c r="Q73" i="1" s="1"/>
  <c r="R73" i="1" s="1"/>
  <c r="O11" i="1"/>
  <c r="P11" i="1" s="1"/>
  <c r="Q11" i="1" s="1"/>
  <c r="R11" i="1" s="1"/>
  <c r="O216" i="1"/>
  <c r="P216" i="1" s="1"/>
  <c r="S216" i="1" s="1"/>
  <c r="T216" i="1" s="1"/>
  <c r="O194" i="1"/>
  <c r="P194" i="1" s="1"/>
  <c r="Q194" i="1" s="1"/>
  <c r="R194" i="1" s="1"/>
  <c r="O172" i="1"/>
  <c r="P172" i="1" s="1"/>
  <c r="S172" i="1" s="1"/>
  <c r="T172" i="1" s="1"/>
  <c r="O155" i="1"/>
  <c r="P155" i="1" s="1"/>
  <c r="Q155" i="1" s="1"/>
  <c r="R155" i="1" s="1"/>
  <c r="O133" i="1"/>
  <c r="P133" i="1" s="1"/>
  <c r="Q133" i="1" s="1"/>
  <c r="R133" i="1" s="1"/>
  <c r="O111" i="1"/>
  <c r="P111" i="1" s="1"/>
  <c r="S111" i="1" s="1"/>
  <c r="T111" i="1" s="1"/>
  <c r="O94" i="1"/>
  <c r="P94" i="1" s="1"/>
  <c r="S94" i="1" s="1"/>
  <c r="T94" i="1" s="1"/>
  <c r="O72" i="1"/>
  <c r="P72" i="1" s="1"/>
  <c r="Q72" i="1" s="1"/>
  <c r="R72" i="1" s="1"/>
  <c r="O50" i="1"/>
  <c r="P50" i="1" s="1"/>
  <c r="S50" i="1" s="1"/>
  <c r="T50" i="1" s="1"/>
  <c r="O28" i="1"/>
  <c r="P28" i="1" s="1"/>
  <c r="Q28" i="1" s="1"/>
  <c r="R28" i="1" s="1"/>
  <c r="O190" i="1"/>
  <c r="P190" i="1" s="1"/>
  <c r="S190" i="1" s="1"/>
  <c r="T190" i="1" s="1"/>
  <c r="O146" i="1"/>
  <c r="P146" i="1" s="1"/>
  <c r="Q146" i="1" s="1"/>
  <c r="R146" i="1" s="1"/>
  <c r="O85" i="1"/>
  <c r="P85" i="1" s="1"/>
  <c r="Q85" i="1" s="1"/>
  <c r="R85" i="1" s="1"/>
  <c r="O24" i="1"/>
  <c r="P24" i="1" s="1"/>
  <c r="S24" i="1" s="1"/>
  <c r="T24" i="1" s="1"/>
  <c r="O206" i="1"/>
  <c r="P206" i="1" s="1"/>
  <c r="S206" i="1" s="1"/>
  <c r="T206" i="1" s="1"/>
  <c r="O145" i="1"/>
  <c r="P145" i="1" s="1"/>
  <c r="Q145" i="1" s="1"/>
  <c r="R145" i="1" s="1"/>
  <c r="O84" i="1"/>
  <c r="P84" i="1" s="1"/>
  <c r="S84" i="1" s="1"/>
  <c r="T84" i="1" s="1"/>
  <c r="O23" i="1"/>
  <c r="P23" i="1" s="1"/>
  <c r="Q23" i="1" s="1"/>
  <c r="R23" i="1" s="1"/>
  <c r="O205" i="1"/>
  <c r="P205" i="1" s="1"/>
  <c r="S205" i="1" s="1"/>
  <c r="T205" i="1" s="1"/>
  <c r="O144" i="1"/>
  <c r="P144" i="1" s="1"/>
  <c r="Q144" i="1" s="1"/>
  <c r="R144" i="1" s="1"/>
  <c r="O83" i="1"/>
  <c r="P83" i="1" s="1"/>
  <c r="S83" i="1" s="1"/>
  <c r="T83" i="1" s="1"/>
  <c r="O39" i="1"/>
  <c r="P39" i="1" s="1"/>
  <c r="Q39" i="1" s="1"/>
  <c r="R39" i="1" s="1"/>
  <c r="O182" i="1"/>
  <c r="P182" i="1" s="1"/>
  <c r="Q182" i="1" s="1"/>
  <c r="R182" i="1" s="1"/>
  <c r="O143" i="1"/>
  <c r="P143" i="1" s="1"/>
  <c r="S143" i="1" s="1"/>
  <c r="T143" i="1" s="1"/>
  <c r="O82" i="1"/>
  <c r="P82" i="1" s="1"/>
  <c r="S82" i="1" s="1"/>
  <c r="T82" i="1" s="1"/>
  <c r="O15" i="1"/>
  <c r="P15" i="1" s="1"/>
  <c r="S15" i="1" s="1"/>
  <c r="T15" i="1" s="1"/>
  <c r="O181" i="1"/>
  <c r="P181" i="1" s="1"/>
  <c r="Q181" i="1" s="1"/>
  <c r="R181" i="1" s="1"/>
  <c r="O142" i="1"/>
  <c r="P142" i="1" s="1"/>
  <c r="S142" i="1" s="1"/>
  <c r="T142" i="1" s="1"/>
  <c r="O76" i="1"/>
  <c r="P76" i="1" s="1"/>
  <c r="Q76" i="1" s="1"/>
  <c r="R76" i="1" s="1"/>
  <c r="O59" i="1"/>
  <c r="P59" i="1" s="1"/>
  <c r="Q59" i="1" s="1"/>
  <c r="R59" i="1" s="1"/>
  <c r="O219" i="1"/>
  <c r="P219" i="1" s="1"/>
  <c r="S219" i="1" s="1"/>
  <c r="T219" i="1" s="1"/>
  <c r="O158" i="1"/>
  <c r="P158" i="1" s="1"/>
  <c r="S158" i="1" s="1"/>
  <c r="T158" i="1" s="1"/>
  <c r="O119" i="1"/>
  <c r="P119" i="1" s="1"/>
  <c r="Q119" i="1" s="1"/>
  <c r="R119" i="1" s="1"/>
  <c r="O75" i="1"/>
  <c r="P75" i="1" s="1"/>
  <c r="Q75" i="1" s="1"/>
  <c r="R75" i="1" s="1"/>
  <c r="O13" i="1"/>
  <c r="P13" i="1" s="1"/>
  <c r="Q13" i="1" s="1"/>
  <c r="R13" i="1" s="1"/>
  <c r="O179" i="1"/>
  <c r="P179" i="1" s="1"/>
  <c r="Q179" i="1" s="1"/>
  <c r="R179" i="1" s="1"/>
  <c r="O135" i="1"/>
  <c r="P135" i="1" s="1"/>
  <c r="Q135" i="1" s="1"/>
  <c r="R135" i="1" s="1"/>
  <c r="O74" i="1"/>
  <c r="P74" i="1" s="1"/>
  <c r="Q74" i="1" s="1"/>
  <c r="R74" i="1" s="1"/>
  <c r="O12" i="1"/>
  <c r="P12" i="1" s="1"/>
  <c r="S12" i="1" s="1"/>
  <c r="T12" i="1" s="1"/>
  <c r="O195" i="1"/>
  <c r="P195" i="1" s="1"/>
  <c r="Q195" i="1" s="1"/>
  <c r="R195" i="1" s="1"/>
  <c r="O134" i="1"/>
  <c r="P134" i="1" s="1"/>
  <c r="S134" i="1" s="1"/>
  <c r="T134" i="1" s="1"/>
  <c r="O34" i="1"/>
  <c r="P34" i="1" s="1"/>
  <c r="S34" i="1" s="1"/>
  <c r="T34" i="1" s="1"/>
  <c r="O215" i="1"/>
  <c r="P215" i="1" s="1"/>
  <c r="S215" i="1" s="1"/>
  <c r="T215" i="1" s="1"/>
  <c r="O193" i="1"/>
  <c r="P193" i="1" s="1"/>
  <c r="Q193" i="1" s="1"/>
  <c r="R193" i="1" s="1"/>
  <c r="O171" i="1"/>
  <c r="P171" i="1" s="1"/>
  <c r="S171" i="1" s="1"/>
  <c r="T171" i="1" s="1"/>
  <c r="O154" i="1"/>
  <c r="P154" i="1" s="1"/>
  <c r="S154" i="1" s="1"/>
  <c r="T154" i="1" s="1"/>
  <c r="O132" i="1"/>
  <c r="P132" i="1" s="1"/>
  <c r="Q132" i="1" s="1"/>
  <c r="R132" i="1" s="1"/>
  <c r="O110" i="1"/>
  <c r="P110" i="1" s="1"/>
  <c r="S110" i="1" s="1"/>
  <c r="T110" i="1" s="1"/>
  <c r="O88" i="1"/>
  <c r="P88" i="1" s="1"/>
  <c r="Q88" i="1" s="1"/>
  <c r="R88" i="1" s="1"/>
  <c r="O71" i="1"/>
  <c r="P71" i="1" s="1"/>
  <c r="S71" i="1" s="1"/>
  <c r="T71" i="1" s="1"/>
  <c r="O49" i="1"/>
  <c r="P49" i="1" s="1"/>
  <c r="Q49" i="1" s="1"/>
  <c r="R49" i="1" s="1"/>
  <c r="O27" i="1"/>
  <c r="P27" i="1" s="1"/>
  <c r="Q27" i="1" s="1"/>
  <c r="R27" i="1" s="1"/>
  <c r="O191" i="1"/>
  <c r="P191" i="1" s="1"/>
  <c r="Q191" i="1" s="1"/>
  <c r="R191" i="1" s="1"/>
  <c r="O147" i="1"/>
  <c r="P147" i="1" s="1"/>
  <c r="Q147" i="1" s="1"/>
  <c r="R147" i="1" s="1"/>
  <c r="O108" i="1"/>
  <c r="P108" i="1" s="1"/>
  <c r="S108" i="1" s="1"/>
  <c r="T108" i="1" s="1"/>
  <c r="O64" i="1"/>
  <c r="P64" i="1" s="1"/>
  <c r="S64" i="1" s="1"/>
  <c r="T64" i="1" s="1"/>
  <c r="O25" i="1"/>
  <c r="P25" i="1" s="1"/>
  <c r="Q25" i="1" s="1"/>
  <c r="R25" i="1" s="1"/>
  <c r="O168" i="1"/>
  <c r="P168" i="1" s="1"/>
  <c r="Q168" i="1" s="1"/>
  <c r="R168" i="1" s="1"/>
  <c r="O107" i="1"/>
  <c r="P107" i="1" s="1"/>
  <c r="Q107" i="1" s="1"/>
  <c r="R107" i="1" s="1"/>
  <c r="O63" i="1"/>
  <c r="P63" i="1" s="1"/>
  <c r="S63" i="1" s="1"/>
  <c r="T63" i="1" s="1"/>
  <c r="O167" i="1"/>
  <c r="P167" i="1" s="1"/>
  <c r="Q167" i="1" s="1"/>
  <c r="R167" i="1" s="1"/>
  <c r="O123" i="1"/>
  <c r="P123" i="1" s="1"/>
  <c r="S123" i="1" s="1"/>
  <c r="T123" i="1" s="1"/>
  <c r="O62" i="1"/>
  <c r="P62" i="1" s="1"/>
  <c r="S62" i="1" s="1"/>
  <c r="T62" i="1" s="1"/>
  <c r="O183" i="1"/>
  <c r="P183" i="1" s="1"/>
  <c r="Q183" i="1" s="1"/>
  <c r="R183" i="1" s="1"/>
  <c r="O122" i="1"/>
  <c r="P122" i="1" s="1"/>
  <c r="Q122" i="1" s="1"/>
  <c r="R122" i="1" s="1"/>
  <c r="O61" i="1"/>
  <c r="P61" i="1" s="1"/>
  <c r="Q61" i="1" s="1"/>
  <c r="R61" i="1" s="1"/>
  <c r="O204" i="1"/>
  <c r="P204" i="1" s="1"/>
  <c r="S204" i="1" s="1"/>
  <c r="T204" i="1" s="1"/>
  <c r="O121" i="1"/>
  <c r="P121" i="1" s="1"/>
  <c r="Q121" i="1" s="1"/>
  <c r="R121" i="1" s="1"/>
  <c r="O60" i="1"/>
  <c r="P60" i="1" s="1"/>
  <c r="S60" i="1" s="1"/>
  <c r="T60" i="1" s="1"/>
  <c r="O203" i="1"/>
  <c r="P203" i="1" s="1"/>
  <c r="Q203" i="1" s="1"/>
  <c r="R203" i="1" s="1"/>
  <c r="O120" i="1"/>
  <c r="P120" i="1" s="1"/>
  <c r="Q120" i="1" s="1"/>
  <c r="R120" i="1" s="1"/>
  <c r="O14" i="1"/>
  <c r="P14" i="1" s="1"/>
  <c r="S14" i="1" s="1"/>
  <c r="T14" i="1" s="1"/>
  <c r="O202" i="1"/>
  <c r="P202" i="1" s="1"/>
  <c r="S202" i="1" s="1"/>
  <c r="T202" i="1" s="1"/>
  <c r="O136" i="1"/>
  <c r="P136" i="1" s="1"/>
  <c r="Q136" i="1" s="1"/>
  <c r="R136" i="1" s="1"/>
  <c r="O58" i="1"/>
  <c r="P58" i="1" s="1"/>
  <c r="Q58" i="1" s="1"/>
  <c r="R58" i="1" s="1"/>
  <c r="O218" i="1"/>
  <c r="P218" i="1" s="1"/>
  <c r="S218" i="1" s="1"/>
  <c r="T218" i="1" s="1"/>
  <c r="O157" i="1"/>
  <c r="P157" i="1" s="1"/>
  <c r="S157" i="1" s="1"/>
  <c r="T157" i="1" s="1"/>
  <c r="O96" i="1"/>
  <c r="P96" i="1" s="1"/>
  <c r="Q96" i="1" s="1"/>
  <c r="R96" i="1" s="1"/>
  <c r="O52" i="1"/>
  <c r="P52" i="1" s="1"/>
  <c r="S52" i="1" s="1"/>
  <c r="T52" i="1" s="1"/>
  <c r="O217" i="1"/>
  <c r="P217" i="1" s="1"/>
  <c r="S217" i="1" s="1"/>
  <c r="T217" i="1" s="1"/>
  <c r="O156" i="1"/>
  <c r="P156" i="1" s="1"/>
  <c r="S156" i="1" s="1"/>
  <c r="T156" i="1" s="1"/>
  <c r="O95" i="1"/>
  <c r="P95" i="1" s="1"/>
  <c r="Q95" i="1" s="1"/>
  <c r="R95" i="1" s="1"/>
  <c r="O51" i="1"/>
  <c r="P51" i="1" s="1"/>
  <c r="Q51" i="1" s="1"/>
  <c r="R51" i="1" s="1"/>
  <c r="O214" i="1"/>
  <c r="P214" i="1" s="1"/>
  <c r="S214" i="1" s="1"/>
  <c r="T214" i="1" s="1"/>
  <c r="O192" i="1"/>
  <c r="P192" i="1" s="1"/>
  <c r="Q192" i="1" s="1"/>
  <c r="R192" i="1" s="1"/>
  <c r="O170" i="1"/>
  <c r="P170" i="1" s="1"/>
  <c r="S170" i="1" s="1"/>
  <c r="T170" i="1" s="1"/>
  <c r="O148" i="1"/>
  <c r="P148" i="1" s="1"/>
  <c r="Q148" i="1" s="1"/>
  <c r="R148" i="1" s="1"/>
  <c r="O131" i="1"/>
  <c r="P131" i="1" s="1"/>
  <c r="Q131" i="1" s="1"/>
  <c r="R131" i="1" s="1"/>
  <c r="O109" i="1"/>
  <c r="P109" i="1" s="1"/>
  <c r="Q109" i="1" s="1"/>
  <c r="R109" i="1" s="1"/>
  <c r="O87" i="1"/>
  <c r="P87" i="1" s="1"/>
  <c r="Q87" i="1" s="1"/>
  <c r="R87" i="1" s="1"/>
  <c r="O70" i="1"/>
  <c r="P70" i="1" s="1"/>
  <c r="S70" i="1" s="1"/>
  <c r="T70" i="1" s="1"/>
  <c r="O48" i="1"/>
  <c r="P48" i="1" s="1"/>
  <c r="Q48" i="1" s="1"/>
  <c r="R48" i="1" s="1"/>
  <c r="O26" i="1"/>
  <c r="P26" i="1" s="1"/>
  <c r="Q26" i="1" s="1"/>
  <c r="R26" i="1" s="1"/>
  <c r="O10" i="1"/>
  <c r="P10" i="1" s="1"/>
  <c r="Q10" i="1" s="1"/>
  <c r="R10" i="1" s="1"/>
  <c r="O201" i="1"/>
  <c r="P201" i="1" s="1"/>
  <c r="S201" i="1" s="1"/>
  <c r="T201" i="1" s="1"/>
  <c r="O177" i="1"/>
  <c r="P177" i="1" s="1"/>
  <c r="S177" i="1" s="1"/>
  <c r="T177" i="1" s="1"/>
  <c r="O153" i="1"/>
  <c r="P153" i="1" s="1"/>
  <c r="Q153" i="1" s="1"/>
  <c r="R153" i="1" s="1"/>
  <c r="O129" i="1"/>
  <c r="P129" i="1" s="1"/>
  <c r="Q129" i="1" s="1"/>
  <c r="R129" i="1" s="1"/>
  <c r="O105" i="1"/>
  <c r="P105" i="1" s="1"/>
  <c r="S105" i="1" s="1"/>
  <c r="T105" i="1" s="1"/>
  <c r="O81" i="1"/>
  <c r="P81" i="1" s="1"/>
  <c r="S81" i="1" s="1"/>
  <c r="T81" i="1" s="1"/>
  <c r="O57" i="1"/>
  <c r="P57" i="1" s="1"/>
  <c r="Q57" i="1" s="1"/>
  <c r="R57" i="1" s="1"/>
  <c r="O33" i="1"/>
  <c r="P33" i="1" s="1"/>
  <c r="Q33" i="1" s="1"/>
  <c r="R33" i="1" s="1"/>
  <c r="O9" i="1"/>
  <c r="P9" i="1" s="1"/>
  <c r="Q9" i="1" s="1"/>
  <c r="R9" i="1" s="1"/>
  <c r="O200" i="1"/>
  <c r="P200" i="1" s="1"/>
  <c r="Q200" i="1" s="1"/>
  <c r="R200" i="1" s="1"/>
  <c r="O176" i="1"/>
  <c r="P176" i="1" s="1"/>
  <c r="S176" i="1" s="1"/>
  <c r="T176" i="1" s="1"/>
  <c r="O152" i="1"/>
  <c r="P152" i="1" s="1"/>
  <c r="S152" i="1" s="1"/>
  <c r="T152" i="1" s="1"/>
  <c r="O128" i="1"/>
  <c r="P128" i="1" s="1"/>
  <c r="S128" i="1" s="1"/>
  <c r="T128" i="1" s="1"/>
  <c r="O104" i="1"/>
  <c r="P104" i="1" s="1"/>
  <c r="S104" i="1" s="1"/>
  <c r="T104" i="1" s="1"/>
  <c r="O80" i="1"/>
  <c r="P80" i="1" s="1"/>
  <c r="S80" i="1" s="1"/>
  <c r="T80" i="1" s="1"/>
  <c r="O68" i="1"/>
  <c r="P68" i="1" s="1"/>
  <c r="S68" i="1" s="1"/>
  <c r="T68" i="1" s="1"/>
  <c r="O44" i="1"/>
  <c r="P44" i="1" s="1"/>
  <c r="S44" i="1" s="1"/>
  <c r="T44" i="1" s="1"/>
  <c r="O20" i="1"/>
  <c r="P20" i="1" s="1"/>
  <c r="S20" i="1" s="1"/>
  <c r="T20" i="1" s="1"/>
  <c r="O211" i="1"/>
  <c r="P211" i="1" s="1"/>
  <c r="S211" i="1" s="1"/>
  <c r="T211" i="1" s="1"/>
  <c r="O187" i="1"/>
  <c r="P187" i="1" s="1"/>
  <c r="S187" i="1" s="1"/>
  <c r="T187" i="1" s="1"/>
  <c r="O163" i="1"/>
  <c r="P163" i="1" s="1"/>
  <c r="Q163" i="1" s="1"/>
  <c r="R163" i="1" s="1"/>
  <c r="O139" i="1"/>
  <c r="P139" i="1" s="1"/>
  <c r="S139" i="1" s="1"/>
  <c r="T139" i="1" s="1"/>
  <c r="O115" i="1"/>
  <c r="P115" i="1" s="1"/>
  <c r="Q115" i="1" s="1"/>
  <c r="R115" i="1" s="1"/>
  <c r="O91" i="1"/>
  <c r="P91" i="1" s="1"/>
  <c r="Q91" i="1" s="1"/>
  <c r="R91" i="1" s="1"/>
  <c r="O67" i="1"/>
  <c r="P67" i="1" s="1"/>
  <c r="S67" i="1" s="1"/>
  <c r="T67" i="1" s="1"/>
  <c r="O43" i="1"/>
  <c r="P43" i="1" s="1"/>
  <c r="Q43" i="1" s="1"/>
  <c r="R43" i="1" s="1"/>
  <c r="O7" i="1"/>
  <c r="P7" i="1" s="1"/>
  <c r="Q7" i="1" s="1"/>
  <c r="R7" i="1" s="1"/>
  <c r="O210" i="1"/>
  <c r="P210" i="1" s="1"/>
  <c r="Q210" i="1" s="1"/>
  <c r="R210" i="1" s="1"/>
  <c r="O198" i="1"/>
  <c r="P198" i="1" s="1"/>
  <c r="S198" i="1" s="1"/>
  <c r="T198" i="1" s="1"/>
  <c r="O186" i="1"/>
  <c r="P186" i="1" s="1"/>
  <c r="S186" i="1" s="1"/>
  <c r="T186" i="1" s="1"/>
  <c r="O174" i="1"/>
  <c r="P174" i="1" s="1"/>
  <c r="S174" i="1" s="1"/>
  <c r="T174" i="1" s="1"/>
  <c r="O162" i="1"/>
  <c r="P162" i="1" s="1"/>
  <c r="Q162" i="1" s="1"/>
  <c r="R162" i="1" s="1"/>
  <c r="O150" i="1"/>
  <c r="P150" i="1" s="1"/>
  <c r="Q150" i="1" s="1"/>
  <c r="R150" i="1" s="1"/>
  <c r="O138" i="1"/>
  <c r="P138" i="1" s="1"/>
  <c r="S138" i="1" s="1"/>
  <c r="T138" i="1" s="1"/>
  <c r="O126" i="1"/>
  <c r="P126" i="1" s="1"/>
  <c r="S126" i="1" s="1"/>
  <c r="T126" i="1" s="1"/>
  <c r="O114" i="1"/>
  <c r="P114" i="1" s="1"/>
  <c r="Q114" i="1" s="1"/>
  <c r="R114" i="1" s="1"/>
  <c r="O102" i="1"/>
  <c r="P102" i="1" s="1"/>
  <c r="S102" i="1" s="1"/>
  <c r="T102" i="1" s="1"/>
  <c r="O90" i="1"/>
  <c r="P90" i="1" s="1"/>
  <c r="Q90" i="1" s="1"/>
  <c r="R90" i="1" s="1"/>
  <c r="O78" i="1"/>
  <c r="P78" i="1" s="1"/>
  <c r="Q78" i="1" s="1"/>
  <c r="R78" i="1" s="1"/>
  <c r="O66" i="1"/>
  <c r="P66" i="1" s="1"/>
  <c r="Q66" i="1" s="1"/>
  <c r="R66" i="1" s="1"/>
  <c r="O54" i="1"/>
  <c r="P54" i="1" s="1"/>
  <c r="S54" i="1" s="1"/>
  <c r="T54" i="1" s="1"/>
  <c r="O42" i="1"/>
  <c r="P42" i="1" s="1"/>
  <c r="Q42" i="1" s="1"/>
  <c r="R42" i="1" s="1"/>
  <c r="O30" i="1"/>
  <c r="P30" i="1" s="1"/>
  <c r="S30" i="1" s="1"/>
  <c r="T30" i="1" s="1"/>
  <c r="O18" i="1"/>
  <c r="P18" i="1" s="1"/>
  <c r="Q18" i="1" s="1"/>
  <c r="R18" i="1" s="1"/>
  <c r="O22" i="1"/>
  <c r="P22" i="1" s="1"/>
  <c r="S22" i="1" s="1"/>
  <c r="T22" i="1" s="1"/>
  <c r="O213" i="1"/>
  <c r="P213" i="1" s="1"/>
  <c r="S213" i="1" s="1"/>
  <c r="T213" i="1" s="1"/>
  <c r="O189" i="1"/>
  <c r="P189" i="1" s="1"/>
  <c r="S189" i="1" s="1"/>
  <c r="T189" i="1" s="1"/>
  <c r="O165" i="1"/>
  <c r="P165" i="1" s="1"/>
  <c r="S165" i="1" s="1"/>
  <c r="T165" i="1" s="1"/>
  <c r="O141" i="1"/>
  <c r="P141" i="1" s="1"/>
  <c r="Q141" i="1" s="1"/>
  <c r="R141" i="1" s="1"/>
  <c r="O117" i="1"/>
  <c r="P117" i="1" s="1"/>
  <c r="S117" i="1" s="1"/>
  <c r="T117" i="1" s="1"/>
  <c r="O93" i="1"/>
  <c r="P93" i="1" s="1"/>
  <c r="S93" i="1" s="1"/>
  <c r="T93" i="1" s="1"/>
  <c r="O69" i="1"/>
  <c r="P69" i="1" s="1"/>
  <c r="Q69" i="1" s="1"/>
  <c r="R69" i="1" s="1"/>
  <c r="O45" i="1"/>
  <c r="P45" i="1" s="1"/>
  <c r="S45" i="1" s="1"/>
  <c r="T45" i="1" s="1"/>
  <c r="O21" i="1"/>
  <c r="P21" i="1" s="1"/>
  <c r="Q21" i="1" s="1"/>
  <c r="R21" i="1" s="1"/>
  <c r="O212" i="1"/>
  <c r="P212" i="1" s="1"/>
  <c r="S212" i="1" s="1"/>
  <c r="T212" i="1" s="1"/>
  <c r="O188" i="1"/>
  <c r="P188" i="1" s="1"/>
  <c r="S188" i="1" s="1"/>
  <c r="T188" i="1" s="1"/>
  <c r="O164" i="1"/>
  <c r="P164" i="1" s="1"/>
  <c r="S164" i="1" s="1"/>
  <c r="T164" i="1" s="1"/>
  <c r="O140" i="1"/>
  <c r="P140" i="1" s="1"/>
  <c r="S140" i="1" s="1"/>
  <c r="T140" i="1" s="1"/>
  <c r="O116" i="1"/>
  <c r="P116" i="1" s="1"/>
  <c r="S116" i="1" s="1"/>
  <c r="T116" i="1" s="1"/>
  <c r="O92" i="1"/>
  <c r="P92" i="1" s="1"/>
  <c r="S92" i="1" s="1"/>
  <c r="T92" i="1" s="1"/>
  <c r="O56" i="1"/>
  <c r="P56" i="1" s="1"/>
  <c r="Q56" i="1" s="1"/>
  <c r="R56" i="1" s="1"/>
  <c r="O32" i="1"/>
  <c r="P32" i="1" s="1"/>
  <c r="S32" i="1" s="1"/>
  <c r="T32" i="1" s="1"/>
  <c r="O8" i="1"/>
  <c r="P8" i="1" s="1"/>
  <c r="S8" i="1" s="1"/>
  <c r="T8" i="1" s="1"/>
  <c r="O199" i="1"/>
  <c r="P199" i="1" s="1"/>
  <c r="Q199" i="1" s="1"/>
  <c r="R199" i="1" s="1"/>
  <c r="O175" i="1"/>
  <c r="P175" i="1" s="1"/>
  <c r="Q175" i="1" s="1"/>
  <c r="R175" i="1" s="1"/>
  <c r="O151" i="1"/>
  <c r="P151" i="1" s="1"/>
  <c r="Q151" i="1" s="1"/>
  <c r="R151" i="1" s="1"/>
  <c r="O127" i="1"/>
  <c r="P127" i="1" s="1"/>
  <c r="S127" i="1" s="1"/>
  <c r="T127" i="1" s="1"/>
  <c r="O103" i="1"/>
  <c r="P103" i="1" s="1"/>
  <c r="Q103" i="1" s="1"/>
  <c r="R103" i="1" s="1"/>
  <c r="O79" i="1"/>
  <c r="P79" i="1" s="1"/>
  <c r="S79" i="1" s="1"/>
  <c r="T79" i="1" s="1"/>
  <c r="O55" i="1"/>
  <c r="P55" i="1" s="1"/>
  <c r="Q55" i="1" s="1"/>
  <c r="R55" i="1" s="1"/>
  <c r="O31" i="1"/>
  <c r="P31" i="1" s="1"/>
  <c r="Q31" i="1" s="1"/>
  <c r="R31" i="1" s="1"/>
  <c r="O19" i="1"/>
  <c r="P19" i="1" s="1"/>
  <c r="S19" i="1" s="1"/>
  <c r="T19" i="1" s="1"/>
  <c r="O209" i="1"/>
  <c r="P209" i="1" s="1"/>
  <c r="Q209" i="1" s="1"/>
  <c r="R209" i="1" s="1"/>
  <c r="O197" i="1"/>
  <c r="P197" i="1" s="1"/>
  <c r="Q197" i="1" s="1"/>
  <c r="R197" i="1" s="1"/>
  <c r="O185" i="1"/>
  <c r="P185" i="1" s="1"/>
  <c r="Q185" i="1" s="1"/>
  <c r="R185" i="1" s="1"/>
  <c r="O173" i="1"/>
  <c r="P173" i="1" s="1"/>
  <c r="S173" i="1" s="1"/>
  <c r="T173" i="1" s="1"/>
  <c r="O161" i="1"/>
  <c r="P161" i="1" s="1"/>
  <c r="Q161" i="1" s="1"/>
  <c r="R161" i="1" s="1"/>
  <c r="O149" i="1"/>
  <c r="P149" i="1" s="1"/>
  <c r="S149" i="1" s="1"/>
  <c r="T149" i="1" s="1"/>
  <c r="O137" i="1"/>
  <c r="P137" i="1" s="1"/>
  <c r="Q137" i="1" s="1"/>
  <c r="R137" i="1" s="1"/>
  <c r="O125" i="1"/>
  <c r="P125" i="1" s="1"/>
  <c r="Q125" i="1" s="1"/>
  <c r="R125" i="1" s="1"/>
  <c r="O113" i="1"/>
  <c r="P113" i="1" s="1"/>
  <c r="S113" i="1" s="1"/>
  <c r="T113" i="1" s="1"/>
  <c r="O101" i="1"/>
  <c r="P101" i="1" s="1"/>
  <c r="Q101" i="1" s="1"/>
  <c r="R101" i="1" s="1"/>
  <c r="O89" i="1"/>
  <c r="P89" i="1" s="1"/>
  <c r="Q89" i="1" s="1"/>
  <c r="R89" i="1" s="1"/>
  <c r="O77" i="1"/>
  <c r="P77" i="1" s="1"/>
  <c r="S77" i="1" s="1"/>
  <c r="T77" i="1" s="1"/>
  <c r="O65" i="1"/>
  <c r="P65" i="1" s="1"/>
  <c r="S65" i="1" s="1"/>
  <c r="T65" i="1" s="1"/>
  <c r="O53" i="1"/>
  <c r="P53" i="1" s="1"/>
  <c r="Q53" i="1" s="1"/>
  <c r="R53" i="1" s="1"/>
  <c r="O41" i="1"/>
  <c r="P41" i="1" s="1"/>
  <c r="Q41" i="1" s="1"/>
  <c r="R41" i="1" s="1"/>
  <c r="O29" i="1"/>
  <c r="P29" i="1" s="1"/>
  <c r="Q29" i="1" s="1"/>
  <c r="R29" i="1" s="1"/>
  <c r="Q60" i="1"/>
  <c r="R60" i="1" s="1"/>
  <c r="S144" i="1"/>
  <c r="T144" i="1" s="1"/>
  <c r="S181" i="1"/>
  <c r="T181" i="1" s="1"/>
  <c r="Q12" i="1"/>
  <c r="R12" i="1" s="1"/>
  <c r="Q108" i="1"/>
  <c r="R108" i="1" s="1"/>
  <c r="S121" i="1"/>
  <c r="T121" i="1" s="1"/>
  <c r="Q83" i="1"/>
  <c r="R83" i="1" s="1"/>
  <c r="Q17" i="1"/>
  <c r="R17" i="1" s="1"/>
  <c r="Q130" i="1" l="1"/>
  <c r="R130" i="1" s="1"/>
  <c r="S119" i="1"/>
  <c r="T119" i="1" s="1"/>
  <c r="Q165" i="1"/>
  <c r="R165" i="1" s="1"/>
  <c r="S160" i="1"/>
  <c r="T160" i="1" s="1"/>
  <c r="S25" i="1"/>
  <c r="T25" i="1" s="1"/>
  <c r="S72" i="1"/>
  <c r="T72" i="1" s="1"/>
  <c r="Q158" i="1"/>
  <c r="R158" i="1" s="1"/>
  <c r="Q50" i="1"/>
  <c r="R50" i="1" s="1"/>
  <c r="Q77" i="1"/>
  <c r="R77" i="1" s="1"/>
  <c r="S95" i="1"/>
  <c r="T95" i="1" s="1"/>
  <c r="Q217" i="1"/>
  <c r="R217" i="1" s="1"/>
  <c r="Q92" i="1"/>
  <c r="R92" i="1" s="1"/>
  <c r="S208" i="1"/>
  <c r="T208" i="1" s="1"/>
  <c r="S169" i="1"/>
  <c r="T169" i="1" s="1"/>
  <c r="S26" i="1"/>
  <c r="T26" i="1" s="1"/>
  <c r="Q204" i="1"/>
  <c r="R204" i="1" s="1"/>
  <c r="Q213" i="1"/>
  <c r="R213" i="1" s="1"/>
  <c r="Q94" i="1"/>
  <c r="R94" i="1" s="1"/>
  <c r="Q215" i="1"/>
  <c r="R215" i="1" s="1"/>
  <c r="Q52" i="1"/>
  <c r="R52" i="1" s="1"/>
  <c r="Q16" i="1"/>
  <c r="R16" i="1" s="1"/>
  <c r="Q70" i="1"/>
  <c r="R70" i="1" s="1"/>
  <c r="S114" i="1"/>
  <c r="T114" i="1" s="1"/>
  <c r="S38" i="1"/>
  <c r="T38" i="1" s="1"/>
  <c r="S132" i="1"/>
  <c r="T132" i="1" s="1"/>
  <c r="S39" i="1"/>
  <c r="T39" i="1" s="1"/>
  <c r="S100" i="1"/>
  <c r="T100" i="1" s="1"/>
  <c r="S118" i="1"/>
  <c r="T118" i="1" s="1"/>
  <c r="S35" i="1"/>
  <c r="T35" i="1" s="1"/>
  <c r="Q64" i="1"/>
  <c r="R64" i="1" s="1"/>
  <c r="Q154" i="1"/>
  <c r="R154" i="1" s="1"/>
  <c r="Q86" i="1"/>
  <c r="R86" i="1" s="1"/>
  <c r="S28" i="1"/>
  <c r="T28" i="1" s="1"/>
  <c r="S99" i="1"/>
  <c r="T99" i="1" s="1"/>
  <c r="S91" i="1"/>
  <c r="T91" i="1" s="1"/>
  <c r="S56" i="1"/>
  <c r="T56" i="1" s="1"/>
  <c r="Q207" i="1"/>
  <c r="R207" i="1" s="1"/>
  <c r="S51" i="1"/>
  <c r="T51" i="1" s="1"/>
  <c r="Q219" i="1"/>
  <c r="R219" i="1" s="1"/>
  <c r="S10" i="1"/>
  <c r="T10" i="1" s="1"/>
  <c r="S141" i="1"/>
  <c r="T141" i="1" s="1"/>
  <c r="Q47" i="1"/>
  <c r="R47" i="1" s="1"/>
  <c r="Q201" i="1"/>
  <c r="R201" i="1" s="1"/>
  <c r="Q19" i="1"/>
  <c r="R19" i="1" s="1"/>
  <c r="Q205" i="1"/>
  <c r="R205" i="1" s="1"/>
  <c r="Q63" i="1"/>
  <c r="R63" i="1" s="1"/>
  <c r="S48" i="1"/>
  <c r="T48" i="1" s="1"/>
  <c r="S185" i="1"/>
  <c r="T185" i="1" s="1"/>
  <c r="S13" i="1"/>
  <c r="T13" i="1" s="1"/>
  <c r="Q172" i="1"/>
  <c r="R172" i="1" s="1"/>
  <c r="Q32" i="1"/>
  <c r="R32" i="1" s="1"/>
  <c r="S168" i="1"/>
  <c r="T168" i="1" s="1"/>
  <c r="Q206" i="1"/>
  <c r="R206" i="1" s="1"/>
  <c r="Q20" i="1"/>
  <c r="R20" i="1" s="1"/>
  <c r="Q159" i="1"/>
  <c r="R159" i="1" s="1"/>
  <c r="Q71" i="1"/>
  <c r="R71" i="1" s="1"/>
  <c r="Q68" i="1"/>
  <c r="R68" i="1" s="1"/>
  <c r="Q62" i="1"/>
  <c r="R62" i="1" s="1"/>
  <c r="Q173" i="1"/>
  <c r="R173" i="1" s="1"/>
  <c r="S73" i="1"/>
  <c r="T73" i="1" s="1"/>
  <c r="S43" i="1"/>
  <c r="T43" i="1" s="1"/>
  <c r="Q65" i="1"/>
  <c r="R65" i="1" s="1"/>
  <c r="Q216" i="1"/>
  <c r="R216" i="1" s="1"/>
  <c r="Q180" i="1"/>
  <c r="R180" i="1" s="1"/>
  <c r="S146" i="1"/>
  <c r="T146" i="1" s="1"/>
  <c r="Q104" i="1"/>
  <c r="R104" i="1" s="1"/>
  <c r="Q105" i="1"/>
  <c r="R105" i="1" s="1"/>
  <c r="S78" i="1"/>
  <c r="T78" i="1" s="1"/>
  <c r="S129" i="1"/>
  <c r="T129" i="1" s="1"/>
  <c r="Q117" i="1"/>
  <c r="R117" i="1" s="1"/>
  <c r="S179" i="1"/>
  <c r="T179" i="1" s="1"/>
  <c r="S29" i="1"/>
  <c r="T29" i="1" s="1"/>
  <c r="S75" i="1"/>
  <c r="T75" i="1" s="1"/>
  <c r="S193" i="1"/>
  <c r="T193" i="1" s="1"/>
  <c r="S27" i="1"/>
  <c r="T27" i="1" s="1"/>
  <c r="Q124" i="1"/>
  <c r="R124" i="1" s="1"/>
  <c r="S151" i="1"/>
  <c r="T151" i="1" s="1"/>
  <c r="S46" i="1"/>
  <c r="T46" i="1" s="1"/>
  <c r="S167" i="1"/>
  <c r="T167" i="1" s="1"/>
  <c r="S107" i="1"/>
  <c r="T107" i="1" s="1"/>
  <c r="Q8" i="1"/>
  <c r="R8" i="1" s="1"/>
  <c r="S131" i="1"/>
  <c r="T131" i="1" s="1"/>
  <c r="Q143" i="1"/>
  <c r="R143" i="1" s="1"/>
  <c r="S161" i="1"/>
  <c r="T161" i="1" s="1"/>
  <c r="Q82" i="1"/>
  <c r="R82" i="1" s="1"/>
  <c r="S209" i="1"/>
  <c r="T209" i="1" s="1"/>
  <c r="S203" i="1"/>
  <c r="T203" i="1" s="1"/>
  <c r="S58" i="1"/>
  <c r="T58" i="1" s="1"/>
  <c r="S53" i="1"/>
  <c r="T53" i="1" s="1"/>
  <c r="S120" i="1"/>
  <c r="T120" i="1" s="1"/>
  <c r="Q171" i="1"/>
  <c r="R171" i="1" s="1"/>
  <c r="Q15" i="1"/>
  <c r="R15" i="1" s="1"/>
  <c r="Q178" i="1"/>
  <c r="R178" i="1" s="1"/>
  <c r="S69" i="1"/>
  <c r="T69" i="1" s="1"/>
  <c r="Q112" i="1"/>
  <c r="R112" i="1" s="1"/>
  <c r="S37" i="1"/>
  <c r="T37" i="1" s="1"/>
  <c r="S76" i="1"/>
  <c r="T76" i="1" s="1"/>
  <c r="Q127" i="1"/>
  <c r="R127" i="1" s="1"/>
  <c r="S210" i="1"/>
  <c r="T210" i="1" s="1"/>
  <c r="S90" i="1"/>
  <c r="T90" i="1" s="1"/>
  <c r="Q202" i="1"/>
  <c r="R202" i="1" s="1"/>
  <c r="Q128" i="1"/>
  <c r="R128" i="1" s="1"/>
  <c r="Q24" i="1"/>
  <c r="R24" i="1" s="1"/>
  <c r="Q152" i="1"/>
  <c r="R152" i="1" s="1"/>
  <c r="S153" i="1"/>
  <c r="T153" i="1" s="1"/>
  <c r="Q156" i="1"/>
  <c r="R156" i="1" s="1"/>
  <c r="Q40" i="1"/>
  <c r="R40" i="1" s="1"/>
  <c r="Q111" i="1"/>
  <c r="R111" i="1" s="1"/>
  <c r="Q81" i="1"/>
  <c r="R81" i="1" s="1"/>
  <c r="Q134" i="1"/>
  <c r="R134" i="1" s="1"/>
  <c r="S155" i="1"/>
  <c r="T155" i="1" s="1"/>
  <c r="S183" i="1"/>
  <c r="T183" i="1" s="1"/>
  <c r="S133" i="1"/>
  <c r="T133" i="1" s="1"/>
  <c r="S194" i="1"/>
  <c r="T194" i="1" s="1"/>
  <c r="S87" i="1"/>
  <c r="T87" i="1" s="1"/>
  <c r="S197" i="1"/>
  <c r="T197" i="1" s="1"/>
  <c r="Q184" i="1"/>
  <c r="R184" i="1" s="1"/>
  <c r="S96" i="1"/>
  <c r="T96" i="1" s="1"/>
  <c r="Q218" i="1"/>
  <c r="R218" i="1" s="1"/>
  <c r="S122" i="1"/>
  <c r="T122" i="1" s="1"/>
  <c r="S49" i="1"/>
  <c r="T49" i="1" s="1"/>
  <c r="Q166" i="1"/>
  <c r="R166" i="1" s="1"/>
  <c r="S191" i="1"/>
  <c r="T191" i="1" s="1"/>
  <c r="Q106" i="1"/>
  <c r="R106" i="1" s="1"/>
  <c r="S175" i="1"/>
  <c r="T175" i="1" s="1"/>
  <c r="S136" i="1"/>
  <c r="T136" i="1" s="1"/>
  <c r="S66" i="1"/>
  <c r="T66" i="1" s="1"/>
  <c r="S11" i="1"/>
  <c r="T11" i="1" s="1"/>
  <c r="S21" i="1"/>
  <c r="T21" i="1" s="1"/>
  <c r="S199" i="1"/>
  <c r="T199" i="1" s="1"/>
  <c r="S18" i="1"/>
  <c r="T18" i="1" s="1"/>
  <c r="Q97" i="1"/>
  <c r="R97" i="1" s="1"/>
  <c r="S148" i="1"/>
  <c r="T148" i="1" s="1"/>
  <c r="S61" i="1"/>
  <c r="T61" i="1" s="1"/>
  <c r="S182" i="1"/>
  <c r="T182" i="1" s="1"/>
  <c r="Q187" i="1"/>
  <c r="R187" i="1" s="1"/>
  <c r="S109" i="1"/>
  <c r="T109" i="1" s="1"/>
  <c r="S147" i="1"/>
  <c r="T147" i="1" s="1"/>
  <c r="S145" i="1"/>
  <c r="T145" i="1" s="1"/>
  <c r="Q157" i="1"/>
  <c r="R157" i="1" s="1"/>
  <c r="S33" i="1"/>
  <c r="T33" i="1" s="1"/>
  <c r="Q34" i="1"/>
  <c r="R34" i="1" s="1"/>
  <c r="Q142" i="1"/>
  <c r="R142" i="1" s="1"/>
  <c r="S85" i="1"/>
  <c r="T85" i="1" s="1"/>
  <c r="S192" i="1"/>
  <c r="T192" i="1" s="1"/>
  <c r="Q67" i="1"/>
  <c r="R67" i="1" s="1"/>
  <c r="Q110" i="1"/>
  <c r="R110" i="1" s="1"/>
  <c r="Q190" i="1"/>
  <c r="R190" i="1" s="1"/>
  <c r="S135" i="1"/>
  <c r="T135" i="1" s="1"/>
  <c r="Q45" i="1"/>
  <c r="R45" i="1" s="1"/>
  <c r="S59" i="1"/>
  <c r="T59" i="1" s="1"/>
  <c r="Q170" i="1"/>
  <c r="R170" i="1" s="1"/>
  <c r="Q102" i="1"/>
  <c r="R102" i="1" s="1"/>
  <c r="Q186" i="1"/>
  <c r="R186" i="1" s="1"/>
  <c r="S195" i="1"/>
  <c r="T195" i="1" s="1"/>
  <c r="Q36" i="1"/>
  <c r="R36" i="1" s="1"/>
  <c r="S23" i="1"/>
  <c r="T23" i="1" s="1"/>
  <c r="Q84" i="1"/>
  <c r="R84" i="1" s="1"/>
  <c r="Q14" i="1"/>
  <c r="R14" i="1" s="1"/>
  <c r="S57" i="1"/>
  <c r="T57" i="1" s="1"/>
  <c r="Q123" i="1"/>
  <c r="R123" i="1" s="1"/>
  <c r="Q98" i="1"/>
  <c r="R98" i="1" s="1"/>
  <c r="Q214" i="1"/>
  <c r="R214" i="1" s="1"/>
  <c r="S74" i="1"/>
  <c r="T74" i="1" s="1"/>
  <c r="S196" i="1"/>
  <c r="T196" i="1" s="1"/>
  <c r="Q177" i="1"/>
  <c r="R177" i="1" s="1"/>
  <c r="Q211" i="1"/>
  <c r="R211" i="1" s="1"/>
  <c r="S88" i="1"/>
  <c r="T88" i="1" s="1"/>
  <c r="S89" i="1"/>
  <c r="T89" i="1" s="1"/>
  <c r="S101" i="1"/>
  <c r="T101" i="1" s="1"/>
  <c r="Q113" i="1"/>
  <c r="R113" i="1" s="1"/>
  <c r="Q116" i="1"/>
  <c r="R116" i="1" s="1"/>
  <c r="Q138" i="1"/>
  <c r="R138" i="1" s="1"/>
  <c r="Q79" i="1"/>
  <c r="R79" i="1" s="1"/>
  <c r="Q176" i="1"/>
  <c r="R176" i="1" s="1"/>
  <c r="Q188" i="1"/>
  <c r="R188" i="1" s="1"/>
  <c r="Q126" i="1"/>
  <c r="R126" i="1" s="1"/>
  <c r="S31" i="1"/>
  <c r="T31" i="1" s="1"/>
  <c r="S125" i="1"/>
  <c r="T125" i="1" s="1"/>
  <c r="S103" i="1"/>
  <c r="T103" i="1" s="1"/>
  <c r="Q164" i="1"/>
  <c r="R164" i="1" s="1"/>
  <c r="Q139" i="1"/>
  <c r="R139" i="1" s="1"/>
  <c r="Q198" i="1"/>
  <c r="R198" i="1" s="1"/>
  <c r="S200" i="1"/>
  <c r="T200" i="1" s="1"/>
  <c r="Q44" i="1"/>
  <c r="R44" i="1" s="1"/>
  <c r="Q212" i="1"/>
  <c r="R212" i="1" s="1"/>
  <c r="S163" i="1"/>
  <c r="T163" i="1" s="1"/>
  <c r="S7" i="1"/>
  <c r="T7" i="1" s="1"/>
  <c r="S42" i="1"/>
  <c r="T42" i="1" s="1"/>
  <c r="Q189" i="1"/>
  <c r="R189" i="1" s="1"/>
  <c r="S150" i="1"/>
  <c r="T150" i="1" s="1"/>
  <c r="S115" i="1"/>
  <c r="T115" i="1" s="1"/>
  <c r="Q174" i="1"/>
  <c r="R174" i="1" s="1"/>
  <c r="Q149" i="1"/>
  <c r="R149" i="1" s="1"/>
  <c r="S9" i="1"/>
  <c r="T9" i="1" s="1"/>
  <c r="Q54" i="1"/>
  <c r="R54" i="1" s="1"/>
  <c r="Q140" i="1"/>
  <c r="R140" i="1" s="1"/>
  <c r="Q30" i="1"/>
  <c r="R30" i="1" s="1"/>
  <c r="S162" i="1"/>
  <c r="T162" i="1" s="1"/>
  <c r="S41" i="1"/>
  <c r="T41" i="1" s="1"/>
  <c r="Q22" i="1"/>
  <c r="R22" i="1" s="1"/>
  <c r="Q80" i="1"/>
  <c r="R80" i="1" s="1"/>
  <c r="S55" i="1"/>
  <c r="T55" i="1" s="1"/>
  <c r="Q93" i="1"/>
  <c r="R93" i="1" s="1"/>
  <c r="S137" i="1"/>
  <c r="T137" i="1" s="1"/>
  <c r="O6" i="1" l="1"/>
  <c r="P6" i="1" s="1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A3" i="1"/>
  <c r="S6" i="1" l="1"/>
  <c r="T6" i="1" s="1"/>
  <c r="U6" i="1" s="1"/>
  <c r="Q6" i="1"/>
  <c r="R6" i="1" s="1"/>
  <c r="B3" i="1"/>
  <c r="C3" i="1"/>
  <c r="D3" i="1"/>
  <c r="E3" i="1"/>
  <c r="F3" i="1"/>
  <c r="G3" i="1"/>
  <c r="H3" i="1"/>
  <c r="I3" i="1"/>
  <c r="J3" i="1"/>
  <c r="K3" i="1"/>
  <c r="L3" i="1"/>
  <c r="M3" i="1"/>
  <c r="N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Heart-disease-processed-cleveland - Copy1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<sst xmlns="http://schemas.openxmlformats.org/spreadsheetml/2006/main" count="75" uniqueCount="39">
  <si>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</si>
  <si>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</si>
  <si>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</si>
  <si>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</si>
  <si>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</si>
  <si>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</si>
  <si>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</si>
  <si>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</si>
  <si>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</si>
  <si>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</si>
  <si>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</si>
  <si>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</si>
  <si>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</si>
  <si>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</si>
  <si>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</si>
  <si>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</si>
  <si>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</si>
  <si>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</si>
  <si>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</si>
  <si>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</si>
  <si>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</si>
  <si>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</si>
  <si>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</si>
  <si>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</si>
  <si>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</si>
  <si>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</si>
  <si>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</si>
  <si>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</si>
  <si>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</si>
  <si>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</si>
  <si>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Validation/Test Dataset</t>
  </si>
  <si>
    <t>Actual Outcome</t>
  </si>
  <si>
    <t>Predicted Outcome</t>
  </si>
  <si>
    <t>Difference</t>
  </si>
  <si>
    <t>Likelyhood</t>
  </si>
  <si>
    <t>Ln(Likelyhood)</t>
  </si>
  <si>
    <t>To-Minimize</t>
  </si>
  <si>
    <t>Cross-validation Different</t>
  </si>
  <si>
    <t>Cross-validation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</si>
</sst>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10" fontId="0" fillId="0" borderId="0" xfId="1" applyNumberFormat="1" applyFont="1"/>
    <xf numFmtId="0" fontId="1" fillId="0" borderId="0" xfId="0" applyFont="1" applyAlignment="1">
      <alignment horizontal="center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501650</xdr:colOff>
      <xdr:row>10</xdr:row>
      <xdr:rowOff>174625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2A6F3B-405B-4EB7-A1A7-8CD4DF5C5B8A}"/>
            </a:ext>
          </a:extLst>
        </xdr:cNvPr>
        <xdr:cNvSpPr txBox="1"/>
      </xdr:nvSpPr>
      <xdr:spPr>
        <a:xfrm>
          <a:off x="0" y="0"/>
          <a:ext cx="4159250" cy="2016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is in A224:N306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9</xdr:col>
      <xdr:colOff>352425</xdr:colOff>
      <xdr:row>45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E166B5-46BD-457F-B0E1-CE38B7768A9A}"/>
            </a:ext>
          </a:extLst>
        </xdr:cNvPr>
        <xdr:cNvSpPr txBox="1"/>
      </xdr:nvSpPr>
      <xdr:spPr>
        <a:xfrm>
          <a:off x="0" y="2025650"/>
          <a:ext cx="5838825" cy="639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209550</xdr:colOff>
      <xdr:row>9</xdr:row>
      <xdr:rowOff>142875</xdr:rowOff>
    </xdr:from>
    <xdr:to>
      <xdr:col>19</xdr:col>
      <xdr:colOff>590550</xdr:colOff>
      <xdr:row>20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534275" y="1857375"/>
          <a:ext cx="4048125" cy="208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is in A224:N306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6"/>
  <sheetViews>
    <sheetView tabSelected="1" workbookViewId="0">
      <selection activeCell="W7" sqref="A1:W306"/>
    </sheetView>
  </sheetViews>
  <sheetFormatPr defaultRowHeight="14.5" x14ac:dyDescent="0.35"/>
  <cols>
    <col min="1" max="1" width="7.54296875" customWidth="1"/>
    <col min="2" max="2" width="6.453125" customWidth="1"/>
    <col min="3" max="3" width="6.81640625" customWidth="1"/>
    <col min="4" max="4" width="7.54296875" bestFit="1" customWidth="1"/>
    <col min="5" max="5" width="6.81640625" customWidth="1"/>
    <col min="6" max="6" width="5.453125" customWidth="1"/>
    <col min="7" max="7" width="6.7265625" bestFit="1" customWidth="1"/>
    <col min="8" max="8" width="6.81640625" bestFit="1" customWidth="1"/>
    <col min="9" max="9" width="5.7265625" bestFit="1" customWidth="1"/>
    <col min="10" max="10" width="7.453125" bestFit="1" customWidth="1"/>
    <col min="11" max="11" width="5.26953125" bestFit="1" customWidth="1"/>
    <col min="12" max="12" width="5.1796875" customWidth="1"/>
    <col min="13" max="13" width="5.81640625" customWidth="1"/>
    <col min="14" max="14" width="15.26953125" bestFit="1" customWidth="1"/>
    <col min="15" max="15" width="10.81640625" customWidth="1"/>
    <col min="17" max="17" width="24.81640625" bestFit="1" customWidth="1"/>
    <col min="18" max="18" width="11.453125" customWidth="1"/>
    <col min="19" max="19" width="11.81640625" bestFit="1" customWidth="1"/>
    <col min="20" max="20" width="12.453125" bestFit="1" customWidth="1"/>
    <col min="22" max="22" width="21.81640625" customWidth="1"/>
    <col min="23" max="23" width="21.453125" customWidth="1"/>
  </cols>
  <sheetData>
    <row r="1" spans="1:23" x14ac:dyDescent="0.35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</row>
    <row r="2" spans="1:23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3" x14ac:dyDescent="0.35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4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</row>
    <row r="4" spans="1:23" x14ac:dyDescent="0.35">
      <c r="A4">
        <v>-1.1172244843488648E-2</v>
      </c>
      <c r="B4">
        <v>0.9108885693091926</v>
      </c>
      <c r="C4">
        <v>0.83360315873033497</v>
      </c>
      <c r="D4">
        <v>3.0926338083559692E-2</v>
      </c>
      <c r="E4">
        <v>2.4596129100997199E-3</v>
      </c>
      <c r="F4">
        <v>-0.49930778851939217</v>
      </c>
      <c r="G4">
        <v>0.2391483093156003</v>
      </c>
      <c r="H4">
        <v>-2.1034657995315783E-2</v>
      </c>
      <c r="I4">
        <v>0.73148345151692573</v>
      </c>
      <c r="J4">
        <v>0.22737281503003817</v>
      </c>
      <c r="K4">
        <v>0.8574712153168661</v>
      </c>
      <c r="L4">
        <v>1.4052657992505777</v>
      </c>
      <c r="M4">
        <v>0.30308518473402252</v>
      </c>
      <c r="N4">
        <v>-8.7246666220726343</v>
      </c>
      <c r="R4" s="3"/>
    </row>
    <row r="5" spans="1:23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</row>
    <row r="6" spans="1:23" x14ac:dyDescent="0.35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>SUMPRODUCT(A$4:M$4,A6:M6)+N$4</f>
        <v>6.5428491750888398</v>
      </c>
      <c r="P6">
        <f>1/(1+EXP(0-O6))</f>
        <v>0.99856169295107555</v>
      </c>
      <c r="Q6">
        <f>IF(P6&lt;=0.5, 0, 1)</f>
        <v>1</v>
      </c>
      <c r="R6">
        <f>IF(N6=Q6, 0, 1)</f>
        <v>0</v>
      </c>
      <c r="S6">
        <f>IF(N6=1, P6, 1-P6)</f>
        <v>0.99856169295107555</v>
      </c>
      <c r="T6">
        <f>IF(S6=0, 100000, -LN(S6))</f>
        <v>1.4393424054007032E-3</v>
      </c>
      <c r="U6">
        <f>SUM(T6:T219)</f>
        <v>70.417229125291584</v>
      </c>
      <c r="V6">
        <f>SUM(R224:R306)</f>
        <v>16</v>
      </c>
      <c r="W6" s="5">
        <f>1-V6/(306-224+1)</f>
        <v>0.80722891566265065</v>
      </c>
    </row>
    <row r="7" spans="1:23" x14ac:dyDescent="0.35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 t="shared" ref="O7:O70" si="1">SUMPRODUCT(A$4:M$4,A7:M7)+N$4</f>
        <v>-2.2392237462102749</v>
      </c>
      <c r="P7">
        <f t="shared" ref="P7:P70" si="2">1/(1+EXP(0-O7))</f>
        <v>9.6283064434972504E-2</v>
      </c>
      <c r="Q7">
        <f t="shared" ref="Q7:Q70" si="3">IF(P7&lt;=0.5, 0, 1)</f>
        <v>0</v>
      </c>
      <c r="R7">
        <f t="shared" ref="R7:R70" si="4">IF(N7=Q7, 0, 1)</f>
        <v>0</v>
      </c>
      <c r="S7">
        <f t="shared" ref="S7:S70" si="5">IF(N7=1, P7, 1-P7)</f>
        <v>0.90371693556502752</v>
      </c>
      <c r="T7">
        <f t="shared" ref="T7:T70" si="6">IF(S7=0, 100000, -LN(S7))</f>
        <v>0.10123909199860323</v>
      </c>
    </row>
    <row r="8" spans="1:23" x14ac:dyDescent="0.35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si="1"/>
        <v>-2.4505158988569189</v>
      </c>
      <c r="P8">
        <f t="shared" si="2"/>
        <v>7.940083068278822E-2</v>
      </c>
      <c r="Q8">
        <f t="shared" si="3"/>
        <v>0</v>
      </c>
      <c r="R8">
        <f t="shared" si="4"/>
        <v>0</v>
      </c>
      <c r="S8">
        <f t="shared" si="5"/>
        <v>0.92059916931721175</v>
      </c>
      <c r="T8">
        <f t="shared" si="6"/>
        <v>8.2730549927002753E-2</v>
      </c>
    </row>
    <row r="9" spans="1:23" x14ac:dyDescent="0.35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1"/>
        <v>-3.7131068063464729</v>
      </c>
      <c r="P9">
        <f t="shared" si="2"/>
        <v>2.3820340080231241E-2</v>
      </c>
      <c r="Q9">
        <f t="shared" si="3"/>
        <v>0</v>
      </c>
      <c r="R9">
        <f t="shared" si="4"/>
        <v>0</v>
      </c>
      <c r="S9">
        <f t="shared" si="5"/>
        <v>0.97617965991976874</v>
      </c>
      <c r="T9">
        <f t="shared" si="6"/>
        <v>2.4108631722633188E-2</v>
      </c>
    </row>
    <row r="10" spans="1:23" x14ac:dyDescent="0.35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1"/>
        <v>-2.5600646800812514</v>
      </c>
      <c r="P10">
        <f t="shared" si="2"/>
        <v>7.1753234146526984E-2</v>
      </c>
      <c r="Q10">
        <f t="shared" si="3"/>
        <v>0</v>
      </c>
      <c r="R10">
        <f t="shared" si="4"/>
        <v>0</v>
      </c>
      <c r="S10">
        <f t="shared" si="5"/>
        <v>0.92824676585347299</v>
      </c>
      <c r="T10">
        <f t="shared" si="6"/>
        <v>7.4457670064092346E-2</v>
      </c>
    </row>
    <row r="11" spans="1:23" x14ac:dyDescent="0.35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1"/>
        <v>-2.0404822055350094</v>
      </c>
      <c r="P11">
        <f t="shared" si="2"/>
        <v>0.11501763991516192</v>
      </c>
      <c r="Q11">
        <f t="shared" si="3"/>
        <v>0</v>
      </c>
      <c r="R11">
        <f t="shared" si="4"/>
        <v>0</v>
      </c>
      <c r="S11">
        <f t="shared" si="5"/>
        <v>0.8849823600848381</v>
      </c>
      <c r="T11">
        <f t="shared" si="6"/>
        <v>0.1221875662803822</v>
      </c>
    </row>
    <row r="12" spans="1:23" x14ac:dyDescent="0.35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1"/>
        <v>3.3262415972548585</v>
      </c>
      <c r="P12">
        <f t="shared" si="2"/>
        <v>0.9653181619349045</v>
      </c>
      <c r="Q12">
        <f t="shared" si="3"/>
        <v>1</v>
      </c>
      <c r="R12">
        <f t="shared" si="4"/>
        <v>0</v>
      </c>
      <c r="S12">
        <f t="shared" si="5"/>
        <v>0.9653181619349045</v>
      </c>
      <c r="T12">
        <f t="shared" si="6"/>
        <v>3.5297530495795142E-2</v>
      </c>
    </row>
    <row r="13" spans="1:23" x14ac:dyDescent="0.35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1"/>
        <v>-0.55584054483194834</v>
      </c>
      <c r="P13">
        <f t="shared" si="2"/>
        <v>0.36451042254326016</v>
      </c>
      <c r="Q13">
        <f t="shared" si="3"/>
        <v>0</v>
      </c>
      <c r="R13">
        <f t="shared" si="4"/>
        <v>0</v>
      </c>
      <c r="S13">
        <f t="shared" si="5"/>
        <v>0.63548957745673984</v>
      </c>
      <c r="T13">
        <f t="shared" si="6"/>
        <v>0.45335958902726053</v>
      </c>
    </row>
    <row r="14" spans="1:23" x14ac:dyDescent="0.35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1"/>
        <v>-0.89907959748904531</v>
      </c>
      <c r="P14">
        <f t="shared" si="2"/>
        <v>0.28923967709136156</v>
      </c>
      <c r="Q14">
        <f t="shared" si="3"/>
        <v>0</v>
      </c>
      <c r="R14">
        <f t="shared" si="4"/>
        <v>0</v>
      </c>
      <c r="S14">
        <f t="shared" si="5"/>
        <v>0.71076032290863844</v>
      </c>
      <c r="T14">
        <f t="shared" si="6"/>
        <v>0.34142000459077548</v>
      </c>
    </row>
    <row r="15" spans="1:23" x14ac:dyDescent="0.35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1"/>
        <v>-2.5494985244666672</v>
      </c>
      <c r="P15">
        <f t="shared" si="2"/>
        <v>7.2460182158431516E-2</v>
      </c>
      <c r="Q15">
        <f t="shared" si="3"/>
        <v>0</v>
      </c>
      <c r="R15">
        <f t="shared" si="4"/>
        <v>1</v>
      </c>
      <c r="S15">
        <f t="shared" si="5"/>
        <v>7.2460182158431516E-2</v>
      </c>
      <c r="T15">
        <f t="shared" si="6"/>
        <v>2.624718079601287</v>
      </c>
    </row>
    <row r="16" spans="1:23" x14ac:dyDescent="0.35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1"/>
        <v>2.4122274277524198</v>
      </c>
      <c r="P16">
        <f t="shared" si="2"/>
        <v>0.91775496639653731</v>
      </c>
      <c r="Q16">
        <f t="shared" si="3"/>
        <v>1</v>
      </c>
      <c r="R16">
        <f t="shared" si="4"/>
        <v>0</v>
      </c>
      <c r="S16">
        <f t="shared" si="5"/>
        <v>0.91775496639653731</v>
      </c>
      <c r="T16">
        <f t="shared" si="6"/>
        <v>8.5824845128103164E-2</v>
      </c>
    </row>
    <row r="17" spans="1:20" x14ac:dyDescent="0.35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1"/>
        <v>-3.7885636452109059</v>
      </c>
      <c r="P17">
        <f t="shared" si="2"/>
        <v>2.2127380329160347E-2</v>
      </c>
      <c r="Q17">
        <f t="shared" si="3"/>
        <v>0</v>
      </c>
      <c r="R17">
        <f t="shared" si="4"/>
        <v>0</v>
      </c>
      <c r="S17">
        <f t="shared" si="5"/>
        <v>0.9778726196708396</v>
      </c>
      <c r="T17">
        <f t="shared" si="6"/>
        <v>2.2375863165369898E-2</v>
      </c>
    </row>
    <row r="18" spans="1:20" x14ac:dyDescent="0.35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1"/>
        <v>0.66451553226398019</v>
      </c>
      <c r="P18">
        <f t="shared" si="2"/>
        <v>0.66027400947481962</v>
      </c>
      <c r="Q18">
        <f t="shared" si="3"/>
        <v>1</v>
      </c>
      <c r="R18">
        <f t="shared" si="4"/>
        <v>0</v>
      </c>
      <c r="S18">
        <f t="shared" si="5"/>
        <v>0.66027400947481962</v>
      </c>
      <c r="T18">
        <f t="shared" si="6"/>
        <v>0.4151003642482316</v>
      </c>
    </row>
    <row r="19" spans="1:20" x14ac:dyDescent="0.35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1"/>
        <v>6.3692882318642017</v>
      </c>
      <c r="P19">
        <f t="shared" si="2"/>
        <v>0.99828955232421424</v>
      </c>
      <c r="Q19">
        <f t="shared" si="3"/>
        <v>1</v>
      </c>
      <c r="R19">
        <f t="shared" si="4"/>
        <v>0</v>
      </c>
      <c r="S19">
        <f t="shared" si="5"/>
        <v>0.99828955232421424</v>
      </c>
      <c r="T19">
        <f t="shared" si="6"/>
        <v>1.7119121616007182E-3</v>
      </c>
    </row>
    <row r="20" spans="1:20" x14ac:dyDescent="0.35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1"/>
        <v>2.2741112683292588</v>
      </c>
      <c r="P20">
        <f t="shared" si="2"/>
        <v>0.90671012905466253</v>
      </c>
      <c r="Q20">
        <f t="shared" si="3"/>
        <v>1</v>
      </c>
      <c r="R20">
        <f t="shared" si="4"/>
        <v>0</v>
      </c>
      <c r="S20">
        <f t="shared" si="5"/>
        <v>0.90671012905466253</v>
      </c>
      <c r="T20">
        <f t="shared" si="6"/>
        <v>9.7932473051770622E-2</v>
      </c>
    </row>
    <row r="21" spans="1:20" x14ac:dyDescent="0.35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1"/>
        <v>4.6527888802845272</v>
      </c>
      <c r="P21">
        <f t="shared" si="2"/>
        <v>0.99055508410005588</v>
      </c>
      <c r="Q21">
        <f t="shared" si="3"/>
        <v>1</v>
      </c>
      <c r="R21">
        <f t="shared" si="4"/>
        <v>0</v>
      </c>
      <c r="S21">
        <f t="shared" si="5"/>
        <v>0.99055508410005588</v>
      </c>
      <c r="T21">
        <f t="shared" si="6"/>
        <v>9.4898019718174815E-3</v>
      </c>
    </row>
    <row r="22" spans="1:20" x14ac:dyDescent="0.35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1"/>
        <v>-2.6593391467035863</v>
      </c>
      <c r="P22">
        <f t="shared" si="2"/>
        <v>6.5415724086315366E-2</v>
      </c>
      <c r="Q22">
        <f t="shared" si="3"/>
        <v>0</v>
      </c>
      <c r="R22">
        <f t="shared" si="4"/>
        <v>0</v>
      </c>
      <c r="S22">
        <f t="shared" si="5"/>
        <v>0.93458427591368465</v>
      </c>
      <c r="T22">
        <f t="shared" si="6"/>
        <v>6.7653473259563682E-2</v>
      </c>
    </row>
    <row r="23" spans="1:20" x14ac:dyDescent="0.35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1"/>
        <v>1.5840781248389177</v>
      </c>
      <c r="P23">
        <f t="shared" si="2"/>
        <v>0.82978130474426104</v>
      </c>
      <c r="Q23">
        <f t="shared" si="3"/>
        <v>1</v>
      </c>
      <c r="R23">
        <f t="shared" si="4"/>
        <v>0</v>
      </c>
      <c r="S23">
        <f t="shared" si="5"/>
        <v>0.82978130474426104</v>
      </c>
      <c r="T23">
        <f t="shared" si="6"/>
        <v>0.18659310117055031</v>
      </c>
    </row>
    <row r="24" spans="1:20" x14ac:dyDescent="0.35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1"/>
        <v>3.4730139807144429</v>
      </c>
      <c r="P24">
        <f t="shared" si="2"/>
        <v>0.96991010470447259</v>
      </c>
      <c r="Q24">
        <f t="shared" si="3"/>
        <v>1</v>
      </c>
      <c r="R24">
        <f t="shared" si="4"/>
        <v>0</v>
      </c>
      <c r="S24">
        <f t="shared" si="5"/>
        <v>0.96991010470447259</v>
      </c>
      <c r="T24">
        <f t="shared" si="6"/>
        <v>3.0551887341753216E-2</v>
      </c>
    </row>
    <row r="25" spans="1:20" x14ac:dyDescent="0.35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1"/>
        <v>-3.9490294609730627</v>
      </c>
      <c r="P25">
        <f t="shared" si="2"/>
        <v>1.8908958399871501E-2</v>
      </c>
      <c r="Q25">
        <f t="shared" si="3"/>
        <v>0</v>
      </c>
      <c r="R25">
        <f t="shared" si="4"/>
        <v>0</v>
      </c>
      <c r="S25">
        <f t="shared" si="5"/>
        <v>0.9810910416001285</v>
      </c>
      <c r="T25">
        <f t="shared" si="6"/>
        <v>1.9090018829784294E-2</v>
      </c>
    </row>
    <row r="26" spans="1:20" x14ac:dyDescent="0.35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1"/>
        <v>1.2546872390442427</v>
      </c>
      <c r="P26">
        <f t="shared" si="2"/>
        <v>0.77811018996578762</v>
      </c>
      <c r="Q26">
        <f t="shared" si="3"/>
        <v>1</v>
      </c>
      <c r="R26">
        <f t="shared" si="4"/>
        <v>0</v>
      </c>
      <c r="S26">
        <f t="shared" si="5"/>
        <v>0.77811018996578762</v>
      </c>
      <c r="T26">
        <f t="shared" si="6"/>
        <v>0.25088713248588862</v>
      </c>
    </row>
    <row r="27" spans="1:20" x14ac:dyDescent="0.35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1"/>
        <v>3.0367655626615022</v>
      </c>
      <c r="P27">
        <f t="shared" si="2"/>
        <v>0.9542077067614303</v>
      </c>
      <c r="Q27">
        <f t="shared" si="3"/>
        <v>1</v>
      </c>
      <c r="R27">
        <f t="shared" si="4"/>
        <v>0</v>
      </c>
      <c r="S27">
        <f t="shared" si="5"/>
        <v>0.9542077067614303</v>
      </c>
      <c r="T27">
        <f t="shared" si="6"/>
        <v>4.6873909259690295E-2</v>
      </c>
    </row>
    <row r="28" spans="1:20" x14ac:dyDescent="0.35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1"/>
        <v>0.43741413689744846</v>
      </c>
      <c r="P28">
        <f t="shared" si="2"/>
        <v>0.60764269913800173</v>
      </c>
      <c r="Q28">
        <f t="shared" si="3"/>
        <v>1</v>
      </c>
      <c r="R28">
        <f t="shared" si="4"/>
        <v>0</v>
      </c>
      <c r="S28">
        <f t="shared" si="5"/>
        <v>0.60764269913800173</v>
      </c>
      <c r="T28">
        <f t="shared" si="6"/>
        <v>0.49816823565069474</v>
      </c>
    </row>
    <row r="29" spans="1:20" x14ac:dyDescent="0.35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1"/>
        <v>-3.4391705921968558</v>
      </c>
      <c r="P29">
        <f t="shared" si="2"/>
        <v>3.1093461729622848E-2</v>
      </c>
      <c r="Q29">
        <f t="shared" si="3"/>
        <v>0</v>
      </c>
      <c r="R29">
        <f t="shared" si="4"/>
        <v>0</v>
      </c>
      <c r="S29">
        <f t="shared" si="5"/>
        <v>0.9689065382703772</v>
      </c>
      <c r="T29">
        <f t="shared" si="6"/>
        <v>3.1587123476495227E-2</v>
      </c>
    </row>
    <row r="30" spans="1:20" x14ac:dyDescent="0.35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1"/>
        <v>1.2250558955539432</v>
      </c>
      <c r="P30">
        <f t="shared" si="2"/>
        <v>0.77295206905782077</v>
      </c>
      <c r="Q30">
        <f t="shared" si="3"/>
        <v>1</v>
      </c>
      <c r="R30">
        <f t="shared" si="4"/>
        <v>0</v>
      </c>
      <c r="S30">
        <f t="shared" si="5"/>
        <v>0.77295206905782077</v>
      </c>
      <c r="T30">
        <f t="shared" si="6"/>
        <v>0.25753823871069581</v>
      </c>
    </row>
    <row r="31" spans="1:20" x14ac:dyDescent="0.35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1"/>
        <v>2.9793243748062768</v>
      </c>
      <c r="P31">
        <f t="shared" si="2"/>
        <v>0.9516312822906331</v>
      </c>
      <c r="Q31">
        <f t="shared" si="3"/>
        <v>1</v>
      </c>
      <c r="R31">
        <f t="shared" si="4"/>
        <v>0</v>
      </c>
      <c r="S31">
        <f t="shared" si="5"/>
        <v>0.9516312822906331</v>
      </c>
      <c r="T31">
        <f t="shared" si="6"/>
        <v>4.9577627732330508E-2</v>
      </c>
    </row>
    <row r="32" spans="1:20" x14ac:dyDescent="0.35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1"/>
        <v>-2.0781812486252162</v>
      </c>
      <c r="P32">
        <f t="shared" si="2"/>
        <v>0.11123564551879055</v>
      </c>
      <c r="Q32">
        <f t="shared" si="3"/>
        <v>0</v>
      </c>
      <c r="R32">
        <f t="shared" si="4"/>
        <v>1</v>
      </c>
      <c r="S32">
        <f t="shared" si="5"/>
        <v>0.11123564551879055</v>
      </c>
      <c r="T32">
        <f t="shared" si="6"/>
        <v>2.1961043953053303</v>
      </c>
    </row>
    <row r="33" spans="1:20" x14ac:dyDescent="0.35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1"/>
        <v>-3.4063848074380987</v>
      </c>
      <c r="P33">
        <f t="shared" si="2"/>
        <v>3.2096518480208086E-2</v>
      </c>
      <c r="Q33">
        <f t="shared" si="3"/>
        <v>0</v>
      </c>
      <c r="R33">
        <f t="shared" si="4"/>
        <v>0</v>
      </c>
      <c r="S33">
        <f t="shared" si="5"/>
        <v>0.96790348151979189</v>
      </c>
      <c r="T33">
        <f t="shared" si="6"/>
        <v>3.2622905850618875E-2</v>
      </c>
    </row>
    <row r="34" spans="1:20" x14ac:dyDescent="0.35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1"/>
        <v>-3.952359378144493</v>
      </c>
      <c r="P34">
        <f t="shared" si="2"/>
        <v>1.8847282603387742E-2</v>
      </c>
      <c r="Q34">
        <f t="shared" si="3"/>
        <v>0</v>
      </c>
      <c r="R34">
        <f t="shared" si="4"/>
        <v>0</v>
      </c>
      <c r="S34">
        <f t="shared" si="5"/>
        <v>0.98115271739661225</v>
      </c>
      <c r="T34">
        <f t="shared" si="6"/>
        <v>1.9027156307000075E-2</v>
      </c>
    </row>
    <row r="35" spans="1:20" x14ac:dyDescent="0.35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1"/>
        <v>-1.0134431510873148</v>
      </c>
      <c r="P35">
        <f t="shared" si="2"/>
        <v>0.266306561410806</v>
      </c>
      <c r="Q35">
        <f t="shared" si="3"/>
        <v>0</v>
      </c>
      <c r="R35">
        <f t="shared" si="4"/>
        <v>0</v>
      </c>
      <c r="S35">
        <f t="shared" si="5"/>
        <v>0.733693438589194</v>
      </c>
      <c r="T35">
        <f t="shared" si="6"/>
        <v>0.30966399620909485</v>
      </c>
    </row>
    <row r="36" spans="1:20" x14ac:dyDescent="0.35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1"/>
        <v>-2.8477382949351391</v>
      </c>
      <c r="P36">
        <f t="shared" si="2"/>
        <v>5.4798345443383273E-2</v>
      </c>
      <c r="Q36">
        <f t="shared" si="3"/>
        <v>0</v>
      </c>
      <c r="R36">
        <f t="shared" si="4"/>
        <v>0</v>
      </c>
      <c r="S36">
        <f t="shared" si="5"/>
        <v>0.94520165455661675</v>
      </c>
      <c r="T36">
        <f t="shared" si="6"/>
        <v>5.6356983187826282E-2</v>
      </c>
    </row>
    <row r="37" spans="1:20" x14ac:dyDescent="0.35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1"/>
        <v>3.0381995718565076</v>
      </c>
      <c r="P37">
        <f t="shared" si="2"/>
        <v>0.9542703255114815</v>
      </c>
      <c r="Q37">
        <f t="shared" si="3"/>
        <v>1</v>
      </c>
      <c r="R37">
        <f t="shared" si="4"/>
        <v>0</v>
      </c>
      <c r="S37">
        <f t="shared" si="5"/>
        <v>0.9542703255114815</v>
      </c>
      <c r="T37">
        <f t="shared" si="6"/>
        <v>4.6808287597806038E-2</v>
      </c>
    </row>
    <row r="38" spans="1:20" x14ac:dyDescent="0.35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1"/>
        <v>-1.7572272963736859</v>
      </c>
      <c r="P38">
        <f t="shared" si="2"/>
        <v>0.14713794154362009</v>
      </c>
      <c r="Q38">
        <f t="shared" si="3"/>
        <v>0</v>
      </c>
      <c r="R38">
        <f t="shared" si="4"/>
        <v>0</v>
      </c>
      <c r="S38">
        <f t="shared" si="5"/>
        <v>0.85286205845637997</v>
      </c>
      <c r="T38">
        <f t="shared" si="6"/>
        <v>0.15915745798321493</v>
      </c>
    </row>
    <row r="39" spans="1:20" x14ac:dyDescent="0.35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1"/>
        <v>-2.8839460864341371</v>
      </c>
      <c r="P39">
        <f t="shared" si="2"/>
        <v>5.2952895101770404E-2</v>
      </c>
      <c r="Q39">
        <f t="shared" si="3"/>
        <v>0</v>
      </c>
      <c r="R39">
        <f t="shared" si="4"/>
        <v>0</v>
      </c>
      <c r="S39">
        <f t="shared" si="5"/>
        <v>0.94704710489822963</v>
      </c>
      <c r="T39">
        <f t="shared" si="6"/>
        <v>5.4406445852297619E-2</v>
      </c>
    </row>
    <row r="40" spans="1:20" x14ac:dyDescent="0.35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1"/>
        <v>-0.65769206333118113</v>
      </c>
      <c r="P40">
        <f t="shared" si="2"/>
        <v>0.34125824790838094</v>
      </c>
      <c r="Q40">
        <f t="shared" si="3"/>
        <v>0</v>
      </c>
      <c r="R40">
        <f t="shared" si="4"/>
        <v>1</v>
      </c>
      <c r="S40">
        <f t="shared" si="5"/>
        <v>0.34125824790838094</v>
      </c>
      <c r="T40">
        <f t="shared" si="6"/>
        <v>1.0751157630801607</v>
      </c>
    </row>
    <row r="41" spans="1:20" x14ac:dyDescent="0.35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-4.8676946360366609</v>
      </c>
      <c r="P41">
        <f t="shared" si="2"/>
        <v>7.6323744255447573E-3</v>
      </c>
      <c r="Q41">
        <f t="shared" si="3"/>
        <v>0</v>
      </c>
      <c r="R41">
        <f t="shared" si="4"/>
        <v>0</v>
      </c>
      <c r="S41">
        <f t="shared" si="5"/>
        <v>0.99236762557445524</v>
      </c>
      <c r="T41">
        <f t="shared" si="6"/>
        <v>7.6616500520578761E-3</v>
      </c>
    </row>
    <row r="42" spans="1:20" x14ac:dyDescent="0.35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1"/>
        <v>-3.6908545339144467</v>
      </c>
      <c r="P42">
        <f t="shared" si="2"/>
        <v>2.4343290289693519E-2</v>
      </c>
      <c r="Q42">
        <f t="shared" si="3"/>
        <v>0</v>
      </c>
      <c r="R42">
        <f t="shared" si="4"/>
        <v>0</v>
      </c>
      <c r="S42">
        <f t="shared" si="5"/>
        <v>0.97565670971030649</v>
      </c>
      <c r="T42">
        <f t="shared" si="6"/>
        <v>2.4644486295396058E-2</v>
      </c>
    </row>
    <row r="43" spans="1:20" x14ac:dyDescent="0.35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1"/>
        <v>-2.2614543998613925</v>
      </c>
      <c r="P43">
        <f t="shared" si="2"/>
        <v>9.4366001048526216E-2</v>
      </c>
      <c r="Q43">
        <f t="shared" si="3"/>
        <v>0</v>
      </c>
      <c r="R43">
        <f t="shared" si="4"/>
        <v>0</v>
      </c>
      <c r="S43">
        <f t="shared" si="5"/>
        <v>0.90563399895147378</v>
      </c>
      <c r="T43">
        <f t="shared" si="6"/>
        <v>9.9120029226153372E-2</v>
      </c>
    </row>
    <row r="44" spans="1:20" x14ac:dyDescent="0.35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1"/>
        <v>3.6994443531534564</v>
      </c>
      <c r="P44">
        <f t="shared" si="2"/>
        <v>0.97585989246844829</v>
      </c>
      <c r="Q44">
        <f t="shared" si="3"/>
        <v>1</v>
      </c>
      <c r="R44">
        <f t="shared" si="4"/>
        <v>0</v>
      </c>
      <c r="S44">
        <f t="shared" si="5"/>
        <v>0.97585989246844829</v>
      </c>
      <c r="T44">
        <f t="shared" si="6"/>
        <v>2.4436255672454783E-2</v>
      </c>
    </row>
    <row r="45" spans="1:20" x14ac:dyDescent="0.35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1"/>
        <v>0.45131331778853045</v>
      </c>
      <c r="P45">
        <f t="shared" si="2"/>
        <v>0.61095144161061099</v>
      </c>
      <c r="Q45">
        <f t="shared" si="3"/>
        <v>1</v>
      </c>
      <c r="R45">
        <f t="shared" si="4"/>
        <v>0</v>
      </c>
      <c r="S45">
        <f t="shared" si="5"/>
        <v>0.61095144161061099</v>
      </c>
      <c r="T45">
        <f t="shared" si="6"/>
        <v>0.4927377966011261</v>
      </c>
    </row>
    <row r="46" spans="1:20" x14ac:dyDescent="0.35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1"/>
        <v>-3.2343854898531434</v>
      </c>
      <c r="P46">
        <f t="shared" si="2"/>
        <v>3.7892044207179308E-2</v>
      </c>
      <c r="Q46">
        <f t="shared" si="3"/>
        <v>0</v>
      </c>
      <c r="R46">
        <f t="shared" si="4"/>
        <v>0</v>
      </c>
      <c r="S46">
        <f t="shared" si="5"/>
        <v>0.96210795579282071</v>
      </c>
      <c r="T46">
        <f t="shared" si="6"/>
        <v>3.8628614453784266E-2</v>
      </c>
    </row>
    <row r="47" spans="1:20" x14ac:dyDescent="0.35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1"/>
        <v>-0.99028368430262681</v>
      </c>
      <c r="P47">
        <f t="shared" si="2"/>
        <v>0.27085604833091248</v>
      </c>
      <c r="Q47">
        <f t="shared" si="3"/>
        <v>0</v>
      </c>
      <c r="R47">
        <f t="shared" si="4"/>
        <v>0</v>
      </c>
      <c r="S47">
        <f t="shared" si="5"/>
        <v>0.72914395166908752</v>
      </c>
      <c r="T47">
        <f t="shared" si="6"/>
        <v>0.31588410190039073</v>
      </c>
    </row>
    <row r="48" spans="1:20" x14ac:dyDescent="0.35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1"/>
        <v>-0.34803845774153608</v>
      </c>
      <c r="P48">
        <f t="shared" si="2"/>
        <v>0.41385817064980507</v>
      </c>
      <c r="Q48">
        <f t="shared" si="3"/>
        <v>0</v>
      </c>
      <c r="R48">
        <f t="shared" si="4"/>
        <v>0</v>
      </c>
      <c r="S48">
        <f t="shared" si="5"/>
        <v>0.58614182935019499</v>
      </c>
      <c r="T48">
        <f t="shared" si="6"/>
        <v>0.5341934890817237</v>
      </c>
    </row>
    <row r="49" spans="1:20" x14ac:dyDescent="0.35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1"/>
        <v>3.7916116932208705</v>
      </c>
      <c r="P49">
        <f t="shared" si="2"/>
        <v>0.97793847662340327</v>
      </c>
      <c r="Q49">
        <f t="shared" si="3"/>
        <v>1</v>
      </c>
      <c r="R49">
        <f t="shared" si="4"/>
        <v>0</v>
      </c>
      <c r="S49">
        <f t="shared" si="5"/>
        <v>0.97793847662340327</v>
      </c>
      <c r="T49">
        <f t="shared" si="6"/>
        <v>2.2308518264102753E-2</v>
      </c>
    </row>
    <row r="50" spans="1:20" x14ac:dyDescent="0.35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1"/>
        <v>1.7299186721241089</v>
      </c>
      <c r="P50">
        <f t="shared" si="2"/>
        <v>0.84940201723181297</v>
      </c>
      <c r="Q50">
        <f t="shared" si="3"/>
        <v>1</v>
      </c>
      <c r="R50">
        <f t="shared" si="4"/>
        <v>1</v>
      </c>
      <c r="S50">
        <f t="shared" si="5"/>
        <v>0.15059798276818703</v>
      </c>
      <c r="T50">
        <f t="shared" si="6"/>
        <v>1.8931413583396051</v>
      </c>
    </row>
    <row r="51" spans="1:20" x14ac:dyDescent="0.35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1"/>
        <v>1.6068932963269411</v>
      </c>
      <c r="P51">
        <f t="shared" si="2"/>
        <v>0.83297961459429037</v>
      </c>
      <c r="Q51">
        <f t="shared" si="3"/>
        <v>1</v>
      </c>
      <c r="R51">
        <f t="shared" si="4"/>
        <v>1</v>
      </c>
      <c r="S51">
        <f t="shared" si="5"/>
        <v>0.16702038540570963</v>
      </c>
      <c r="T51">
        <f t="shared" si="6"/>
        <v>1.7896394057174478</v>
      </c>
    </row>
    <row r="52" spans="1:20" x14ac:dyDescent="0.35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1"/>
        <v>4.7848938429893284</v>
      </c>
      <c r="P52">
        <f t="shared" si="2"/>
        <v>0.99171421715999952</v>
      </c>
      <c r="Q52">
        <f t="shared" si="3"/>
        <v>1</v>
      </c>
      <c r="R52">
        <f t="shared" si="4"/>
        <v>0</v>
      </c>
      <c r="S52">
        <f t="shared" si="5"/>
        <v>0.99171421715999952</v>
      </c>
      <c r="T52">
        <f t="shared" si="6"/>
        <v>8.320300742774376E-3</v>
      </c>
    </row>
    <row r="53" spans="1:20" x14ac:dyDescent="0.35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1"/>
        <v>-0.48028971655418573</v>
      </c>
      <c r="P53">
        <f t="shared" si="2"/>
        <v>0.38218371521952016</v>
      </c>
      <c r="Q53">
        <f t="shared" si="3"/>
        <v>0</v>
      </c>
      <c r="R53">
        <f t="shared" si="4"/>
        <v>0</v>
      </c>
      <c r="S53">
        <f t="shared" si="5"/>
        <v>0.61781628478047979</v>
      </c>
      <c r="T53">
        <f t="shared" si="6"/>
        <v>0.4815641395370604</v>
      </c>
    </row>
    <row r="54" spans="1:20" x14ac:dyDescent="0.35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1"/>
        <v>-3.589847888140774</v>
      </c>
      <c r="P54">
        <f t="shared" si="2"/>
        <v>2.6861094638199849E-2</v>
      </c>
      <c r="Q54">
        <f t="shared" si="3"/>
        <v>0</v>
      </c>
      <c r="R54">
        <f t="shared" si="4"/>
        <v>0</v>
      </c>
      <c r="S54">
        <f t="shared" si="5"/>
        <v>0.97313890536180014</v>
      </c>
      <c r="T54">
        <f t="shared" si="6"/>
        <v>2.7228447106833528E-2</v>
      </c>
    </row>
    <row r="55" spans="1:20" x14ac:dyDescent="0.35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1"/>
        <v>-5.6735914406537127</v>
      </c>
      <c r="P55">
        <f t="shared" si="2"/>
        <v>3.4237423989962111E-3</v>
      </c>
      <c r="Q55">
        <f t="shared" si="3"/>
        <v>0</v>
      </c>
      <c r="R55">
        <f t="shared" si="4"/>
        <v>0</v>
      </c>
      <c r="S55">
        <f t="shared" si="5"/>
        <v>0.99657625760100377</v>
      </c>
      <c r="T55">
        <f t="shared" si="6"/>
        <v>3.4296168171658353E-3</v>
      </c>
    </row>
    <row r="56" spans="1:20" x14ac:dyDescent="0.35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1"/>
        <v>-2.2574420687752585</v>
      </c>
      <c r="P56">
        <f t="shared" si="2"/>
        <v>9.4709457639633537E-2</v>
      </c>
      <c r="Q56">
        <f t="shared" si="3"/>
        <v>0</v>
      </c>
      <c r="R56">
        <f t="shared" si="4"/>
        <v>0</v>
      </c>
      <c r="S56">
        <f t="shared" si="5"/>
        <v>0.90529054236036643</v>
      </c>
      <c r="T56">
        <f t="shared" si="6"/>
        <v>9.9499345522763516E-2</v>
      </c>
    </row>
    <row r="57" spans="1:20" x14ac:dyDescent="0.35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1"/>
        <v>1.7934116000220186</v>
      </c>
      <c r="P57">
        <f t="shared" si="2"/>
        <v>0.85734503952968888</v>
      </c>
      <c r="Q57">
        <f t="shared" si="3"/>
        <v>1</v>
      </c>
      <c r="R57">
        <f t="shared" si="4"/>
        <v>0</v>
      </c>
      <c r="S57">
        <f t="shared" si="5"/>
        <v>0.85734503952968888</v>
      </c>
      <c r="T57">
        <f t="shared" si="6"/>
        <v>0.15391482819113844</v>
      </c>
    </row>
    <row r="58" spans="1:20" x14ac:dyDescent="0.35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1"/>
        <v>0.39638928982643051</v>
      </c>
      <c r="P58">
        <f t="shared" si="2"/>
        <v>0.59781983990374643</v>
      </c>
      <c r="Q58">
        <f t="shared" si="3"/>
        <v>1</v>
      </c>
      <c r="R58">
        <f t="shared" si="4"/>
        <v>0</v>
      </c>
      <c r="S58">
        <f t="shared" si="5"/>
        <v>0.59781983990374643</v>
      </c>
      <c r="T58">
        <f t="shared" si="6"/>
        <v>0.51446584148671848</v>
      </c>
    </row>
    <row r="59" spans="1:20" x14ac:dyDescent="0.35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1"/>
        <v>2.273149154418693</v>
      </c>
      <c r="P59">
        <f t="shared" si="2"/>
        <v>0.90662871499833486</v>
      </c>
      <c r="Q59">
        <f t="shared" si="3"/>
        <v>1</v>
      </c>
      <c r="R59">
        <f t="shared" si="4"/>
        <v>0</v>
      </c>
      <c r="S59">
        <f t="shared" si="5"/>
        <v>0.90662871499833486</v>
      </c>
      <c r="T59">
        <f t="shared" si="6"/>
        <v>9.802226769401233E-2</v>
      </c>
    </row>
    <row r="60" spans="1:20" x14ac:dyDescent="0.35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1"/>
        <v>2.1477337740776292</v>
      </c>
      <c r="P60">
        <f t="shared" si="2"/>
        <v>0.89545681666847565</v>
      </c>
      <c r="Q60">
        <f t="shared" si="3"/>
        <v>1</v>
      </c>
      <c r="R60">
        <f t="shared" si="4"/>
        <v>0</v>
      </c>
      <c r="S60">
        <f t="shared" si="5"/>
        <v>0.89545681666847565</v>
      </c>
      <c r="T60">
        <f t="shared" si="6"/>
        <v>0.11042128123655084</v>
      </c>
    </row>
    <row r="61" spans="1:20" x14ac:dyDescent="0.35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1"/>
        <v>-1.6293563956957016</v>
      </c>
      <c r="P61">
        <f t="shared" si="2"/>
        <v>0.16391854763723676</v>
      </c>
      <c r="Q61">
        <f t="shared" si="3"/>
        <v>0</v>
      </c>
      <c r="R61">
        <f t="shared" si="4"/>
        <v>0</v>
      </c>
      <c r="S61">
        <f t="shared" si="5"/>
        <v>0.83608145236276321</v>
      </c>
      <c r="T61">
        <f t="shared" si="6"/>
        <v>0.17902923958759562</v>
      </c>
    </row>
    <row r="62" spans="1:20" x14ac:dyDescent="0.35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1"/>
        <v>1.8100574264557547</v>
      </c>
      <c r="P62">
        <f t="shared" si="2"/>
        <v>0.8593688146291405</v>
      </c>
      <c r="Q62">
        <f t="shared" si="3"/>
        <v>1</v>
      </c>
      <c r="R62">
        <f t="shared" si="4"/>
        <v>0</v>
      </c>
      <c r="S62">
        <f t="shared" si="5"/>
        <v>0.8593688146291405</v>
      </c>
      <c r="T62">
        <f t="shared" si="6"/>
        <v>0.15155709567555792</v>
      </c>
    </row>
    <row r="63" spans="1:20" x14ac:dyDescent="0.35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1"/>
        <v>0.73572531589071666</v>
      </c>
      <c r="P63">
        <f t="shared" si="2"/>
        <v>0.67606039417182073</v>
      </c>
      <c r="Q63">
        <f t="shared" si="3"/>
        <v>1</v>
      </c>
      <c r="R63">
        <f t="shared" si="4"/>
        <v>1</v>
      </c>
      <c r="S63">
        <f t="shared" si="5"/>
        <v>0.32393960582817927</v>
      </c>
      <c r="T63">
        <f t="shared" si="6"/>
        <v>1.1271981823296546</v>
      </c>
    </row>
    <row r="64" spans="1:20" x14ac:dyDescent="0.35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1"/>
        <v>2.9437117842410494</v>
      </c>
      <c r="P64">
        <f t="shared" si="2"/>
        <v>0.94996544693550067</v>
      </c>
      <c r="Q64">
        <f t="shared" si="3"/>
        <v>1</v>
      </c>
      <c r="R64">
        <f t="shared" si="4"/>
        <v>0</v>
      </c>
      <c r="S64">
        <f t="shared" si="5"/>
        <v>0.94996544693550067</v>
      </c>
      <c r="T64">
        <f t="shared" si="6"/>
        <v>5.132966669585632E-2</v>
      </c>
    </row>
    <row r="65" spans="1:20" x14ac:dyDescent="0.35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1"/>
        <v>0.58177076205481448</v>
      </c>
      <c r="P65">
        <f t="shared" si="2"/>
        <v>0.64147475679909249</v>
      </c>
      <c r="Q65">
        <f t="shared" si="3"/>
        <v>1</v>
      </c>
      <c r="R65">
        <f t="shared" si="4"/>
        <v>0</v>
      </c>
      <c r="S65">
        <f t="shared" si="5"/>
        <v>0.64147475679909249</v>
      </c>
      <c r="T65">
        <f t="shared" si="6"/>
        <v>0.44398544597490108</v>
      </c>
    </row>
    <row r="66" spans="1:20" x14ac:dyDescent="0.35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1"/>
        <v>-2.707520515096685</v>
      </c>
      <c r="P66">
        <f t="shared" si="2"/>
        <v>6.2531043482603424E-2</v>
      </c>
      <c r="Q66">
        <f t="shared" si="3"/>
        <v>0</v>
      </c>
      <c r="R66">
        <f t="shared" si="4"/>
        <v>0</v>
      </c>
      <c r="S66">
        <f t="shared" si="5"/>
        <v>0.93746895651739659</v>
      </c>
      <c r="T66">
        <f t="shared" si="6"/>
        <v>6.4571634733930558E-2</v>
      </c>
    </row>
    <row r="67" spans="1:20" x14ac:dyDescent="0.35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1"/>
        <v>6.0818625563830953</v>
      </c>
      <c r="P67">
        <f t="shared" si="2"/>
        <v>0.99772128563708129</v>
      </c>
      <c r="Q67">
        <f t="shared" si="3"/>
        <v>1</v>
      </c>
      <c r="R67">
        <f t="shared" si="4"/>
        <v>0</v>
      </c>
      <c r="S67">
        <f t="shared" si="5"/>
        <v>0.99772128563708129</v>
      </c>
      <c r="T67">
        <f t="shared" si="6"/>
        <v>2.2813145833500349E-3</v>
      </c>
    </row>
    <row r="68" spans="1:20" x14ac:dyDescent="0.35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1"/>
        <v>0.92161590467322263</v>
      </c>
      <c r="P68">
        <f t="shared" si="2"/>
        <v>0.71537124297350618</v>
      </c>
      <c r="Q68">
        <f t="shared" si="3"/>
        <v>1</v>
      </c>
      <c r="R68">
        <f t="shared" si="4"/>
        <v>0</v>
      </c>
      <c r="S68">
        <f t="shared" si="5"/>
        <v>0.71537124297350618</v>
      </c>
      <c r="T68">
        <f t="shared" si="6"/>
        <v>0.33495365009471517</v>
      </c>
    </row>
    <row r="69" spans="1:20" x14ac:dyDescent="0.35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1"/>
        <v>3.6439632359987701</v>
      </c>
      <c r="P69">
        <f t="shared" si="2"/>
        <v>0.97451781541242244</v>
      </c>
      <c r="Q69">
        <f t="shared" si="3"/>
        <v>1</v>
      </c>
      <c r="R69">
        <f t="shared" si="4"/>
        <v>0</v>
      </c>
      <c r="S69">
        <f t="shared" si="5"/>
        <v>0.97451781541242244</v>
      </c>
      <c r="T69">
        <f t="shared" si="6"/>
        <v>2.5812478608582747E-2</v>
      </c>
    </row>
    <row r="70" spans="1:20" x14ac:dyDescent="0.35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si="1"/>
        <v>-2.2456557515118911</v>
      </c>
      <c r="P70">
        <f t="shared" si="2"/>
        <v>9.5724850144121729E-2</v>
      </c>
      <c r="Q70">
        <f t="shared" si="3"/>
        <v>0</v>
      </c>
      <c r="R70">
        <f t="shared" si="4"/>
        <v>1</v>
      </c>
      <c r="S70">
        <f t="shared" si="5"/>
        <v>9.5724850144121729E-2</v>
      </c>
      <c r="T70">
        <f t="shared" si="6"/>
        <v>2.3462773471031935</v>
      </c>
    </row>
    <row r="71" spans="1:20" x14ac:dyDescent="0.35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ref="O71:O134" si="7">SUMPRODUCT(A$4:M$4,A71:M71)+N$4</f>
        <v>-4.2761323313506843</v>
      </c>
      <c r="P71">
        <f t="shared" ref="P71:P134" si="8">1/(1+EXP(0-O71))</f>
        <v>1.3705844002629331E-2</v>
      </c>
      <c r="Q71">
        <f t="shared" ref="Q71:Q134" si="9">IF(P71&lt;=0.5, 0, 1)</f>
        <v>0</v>
      </c>
      <c r="R71">
        <f t="shared" ref="R71:R134" si="10">IF(N71=Q71, 0, 1)</f>
        <v>0</v>
      </c>
      <c r="S71">
        <f t="shared" ref="S71:S134" si="11">IF(N71=1, P71, 1-P71)</f>
        <v>0.98629415599737069</v>
      </c>
      <c r="T71">
        <f t="shared" ref="T71:T134" si="12">IF(S71=0, 100000, -LN(S71))</f>
        <v>1.3800636217305054E-2</v>
      </c>
    </row>
    <row r="72" spans="1:20" x14ac:dyDescent="0.35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7"/>
        <v>3.1294246963001235</v>
      </c>
      <c r="P72">
        <f t="shared" si="8"/>
        <v>0.95809029869959306</v>
      </c>
      <c r="Q72">
        <f t="shared" si="9"/>
        <v>1</v>
      </c>
      <c r="R72">
        <f t="shared" si="10"/>
        <v>0</v>
      </c>
      <c r="S72">
        <f t="shared" si="11"/>
        <v>0.95809029869959306</v>
      </c>
      <c r="T72">
        <f t="shared" si="12"/>
        <v>4.2813247938004138E-2</v>
      </c>
    </row>
    <row r="73" spans="1:20" x14ac:dyDescent="0.35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7"/>
        <v>-2.4271280688385355</v>
      </c>
      <c r="P73">
        <f t="shared" si="8"/>
        <v>8.1127299840450293E-2</v>
      </c>
      <c r="Q73">
        <f t="shared" si="9"/>
        <v>0</v>
      </c>
      <c r="R73">
        <f t="shared" si="10"/>
        <v>0</v>
      </c>
      <c r="S73">
        <f t="shared" si="11"/>
        <v>0.91887270015954969</v>
      </c>
      <c r="T73">
        <f t="shared" si="12"/>
        <v>8.4607686178189728E-2</v>
      </c>
    </row>
    <row r="74" spans="1:20" x14ac:dyDescent="0.35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7"/>
        <v>-1.4911029538738463</v>
      </c>
      <c r="P74">
        <f t="shared" si="8"/>
        <v>0.18375623779077827</v>
      </c>
      <c r="Q74">
        <f t="shared" si="9"/>
        <v>0</v>
      </c>
      <c r="R74">
        <f t="shared" si="10"/>
        <v>0</v>
      </c>
      <c r="S74">
        <f t="shared" si="11"/>
        <v>0.81624376220922179</v>
      </c>
      <c r="T74">
        <f t="shared" si="12"/>
        <v>0.20304224043083829</v>
      </c>
    </row>
    <row r="75" spans="1:20" x14ac:dyDescent="0.35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7"/>
        <v>-3.1749235260528543</v>
      </c>
      <c r="P75">
        <f t="shared" si="8"/>
        <v>4.012037692217809E-2</v>
      </c>
      <c r="Q75">
        <f t="shared" si="9"/>
        <v>0</v>
      </c>
      <c r="R75">
        <f t="shared" si="10"/>
        <v>0</v>
      </c>
      <c r="S75">
        <f t="shared" si="11"/>
        <v>0.95987962307782193</v>
      </c>
      <c r="T75">
        <f t="shared" si="12"/>
        <v>4.0947395009836698E-2</v>
      </c>
    </row>
    <row r="76" spans="1:20" x14ac:dyDescent="0.35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7"/>
        <v>-4.6385586787528421</v>
      </c>
      <c r="P76">
        <f t="shared" si="8"/>
        <v>9.578983151677772E-3</v>
      </c>
      <c r="Q76">
        <f t="shared" si="9"/>
        <v>0</v>
      </c>
      <c r="R76">
        <f t="shared" si="10"/>
        <v>0</v>
      </c>
      <c r="S76">
        <f t="shared" si="11"/>
        <v>0.99042101684832218</v>
      </c>
      <c r="T76">
        <f t="shared" si="12"/>
        <v>9.6251567112050056E-3</v>
      </c>
    </row>
    <row r="77" spans="1:20" x14ac:dyDescent="0.35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7"/>
        <v>-2.2386509084590864</v>
      </c>
      <c r="P77">
        <f t="shared" si="8"/>
        <v>9.6332920086137239E-2</v>
      </c>
      <c r="Q77">
        <f t="shared" si="9"/>
        <v>0</v>
      </c>
      <c r="R77">
        <f t="shared" si="10"/>
        <v>1</v>
      </c>
      <c r="S77">
        <f t="shared" si="11"/>
        <v>9.6332920086137239E-2</v>
      </c>
      <c r="T77">
        <f t="shared" si="12"/>
        <v>2.3399451693102971</v>
      </c>
    </row>
    <row r="78" spans="1:20" x14ac:dyDescent="0.35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7"/>
        <v>2.0287640418913089</v>
      </c>
      <c r="P78">
        <f t="shared" si="8"/>
        <v>0.88378419325587165</v>
      </c>
      <c r="Q78">
        <f t="shared" si="9"/>
        <v>1</v>
      </c>
      <c r="R78">
        <f t="shared" si="10"/>
        <v>0</v>
      </c>
      <c r="S78">
        <f t="shared" si="11"/>
        <v>0.88378419325587165</v>
      </c>
      <c r="T78">
        <f t="shared" si="12"/>
        <v>0.12354237142408275</v>
      </c>
    </row>
    <row r="79" spans="1:20" x14ac:dyDescent="0.35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7"/>
        <v>1.989510746110664</v>
      </c>
      <c r="P79">
        <f t="shared" si="8"/>
        <v>0.87969136722647068</v>
      </c>
      <c r="Q79">
        <f t="shared" si="9"/>
        <v>1</v>
      </c>
      <c r="R79">
        <f t="shared" si="10"/>
        <v>0</v>
      </c>
      <c r="S79">
        <f t="shared" si="11"/>
        <v>0.87969136722647068</v>
      </c>
      <c r="T79">
        <f t="shared" si="12"/>
        <v>0.12818415208702721</v>
      </c>
    </row>
    <row r="80" spans="1:20" x14ac:dyDescent="0.35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7"/>
        <v>2.0089438483932387</v>
      </c>
      <c r="P80">
        <f t="shared" si="8"/>
        <v>0.88173293112902007</v>
      </c>
      <c r="Q80">
        <f t="shared" si="9"/>
        <v>1</v>
      </c>
      <c r="R80">
        <f t="shared" si="10"/>
        <v>0</v>
      </c>
      <c r="S80">
        <f t="shared" si="11"/>
        <v>0.88173293112902007</v>
      </c>
      <c r="T80">
        <f t="shared" si="12"/>
        <v>0.12586606800171848</v>
      </c>
    </row>
    <row r="81" spans="1:20" x14ac:dyDescent="0.35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7"/>
        <v>0.17572239267702905</v>
      </c>
      <c r="P81">
        <f t="shared" si="8"/>
        <v>0.54381790407118713</v>
      </c>
      <c r="Q81">
        <f t="shared" si="9"/>
        <v>1</v>
      </c>
      <c r="R81">
        <f t="shared" si="10"/>
        <v>1</v>
      </c>
      <c r="S81">
        <f t="shared" si="11"/>
        <v>0.45618209592881287</v>
      </c>
      <c r="T81">
        <f t="shared" si="12"/>
        <v>0.78486321600280251</v>
      </c>
    </row>
    <row r="82" spans="1:20" x14ac:dyDescent="0.35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7"/>
        <v>-2.3870780248835928</v>
      </c>
      <c r="P82">
        <f t="shared" si="8"/>
        <v>8.4163383981697287E-2</v>
      </c>
      <c r="Q82">
        <f t="shared" si="9"/>
        <v>0</v>
      </c>
      <c r="R82">
        <f t="shared" si="10"/>
        <v>0</v>
      </c>
      <c r="S82">
        <f t="shared" si="11"/>
        <v>0.91583661601830268</v>
      </c>
      <c r="T82">
        <f t="shared" si="12"/>
        <v>8.7917297009500864E-2</v>
      </c>
    </row>
    <row r="83" spans="1:20" x14ac:dyDescent="0.35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7"/>
        <v>5.4359682590471969</v>
      </c>
      <c r="P83">
        <f t="shared" si="8"/>
        <v>0.9956618869607603</v>
      </c>
      <c r="Q83">
        <f t="shared" si="9"/>
        <v>1</v>
      </c>
      <c r="R83">
        <f t="shared" si="10"/>
        <v>0</v>
      </c>
      <c r="S83">
        <f t="shared" si="11"/>
        <v>0.9956618869607603</v>
      </c>
      <c r="T83">
        <f t="shared" si="12"/>
        <v>4.3475499537675892E-3</v>
      </c>
    </row>
    <row r="84" spans="1:20" x14ac:dyDescent="0.35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7"/>
        <v>-2.7345360900182261</v>
      </c>
      <c r="P84">
        <f t="shared" si="8"/>
        <v>6.0965957952542491E-2</v>
      </c>
      <c r="Q84">
        <f t="shared" si="9"/>
        <v>0</v>
      </c>
      <c r="R84">
        <f t="shared" si="10"/>
        <v>0</v>
      </c>
      <c r="S84">
        <f t="shared" si="11"/>
        <v>0.93903404204745755</v>
      </c>
      <c r="T84">
        <f t="shared" si="12"/>
        <v>6.2903546919347436E-2</v>
      </c>
    </row>
    <row r="85" spans="1:20" x14ac:dyDescent="0.35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7"/>
        <v>-1.564268799857679</v>
      </c>
      <c r="P85">
        <f t="shared" si="8"/>
        <v>0.17303495513316786</v>
      </c>
      <c r="Q85">
        <f t="shared" si="9"/>
        <v>0</v>
      </c>
      <c r="R85">
        <f t="shared" si="10"/>
        <v>0</v>
      </c>
      <c r="S85">
        <f t="shared" si="11"/>
        <v>0.8269650448668322</v>
      </c>
      <c r="T85">
        <f t="shared" si="12"/>
        <v>0.18999285224371754</v>
      </c>
    </row>
    <row r="86" spans="1:20" x14ac:dyDescent="0.35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7"/>
        <v>1.898153857605676</v>
      </c>
      <c r="P86">
        <f t="shared" si="8"/>
        <v>0.86968243604004336</v>
      </c>
      <c r="Q86">
        <f t="shared" si="9"/>
        <v>1</v>
      </c>
      <c r="R86">
        <f t="shared" si="10"/>
        <v>0</v>
      </c>
      <c r="S86">
        <f t="shared" si="11"/>
        <v>0.86968243604004336</v>
      </c>
      <c r="T86">
        <f t="shared" si="12"/>
        <v>0.13962715001400733</v>
      </c>
    </row>
    <row r="87" spans="1:20" x14ac:dyDescent="0.35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7"/>
        <v>4.0654833818046949</v>
      </c>
      <c r="P87">
        <f t="shared" si="8"/>
        <v>0.9831346253564146</v>
      </c>
      <c r="Q87">
        <f t="shared" si="9"/>
        <v>1</v>
      </c>
      <c r="R87">
        <f t="shared" si="10"/>
        <v>0</v>
      </c>
      <c r="S87">
        <f t="shared" si="11"/>
        <v>0.9831346253564146</v>
      </c>
      <c r="T87">
        <f t="shared" si="12"/>
        <v>1.7009214645199576E-2</v>
      </c>
    </row>
    <row r="88" spans="1:20" x14ac:dyDescent="0.35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7"/>
        <v>0.98077527980873924</v>
      </c>
      <c r="P88">
        <f t="shared" si="8"/>
        <v>0.72726202171271703</v>
      </c>
      <c r="Q88">
        <f t="shared" si="9"/>
        <v>1</v>
      </c>
      <c r="R88">
        <f t="shared" si="10"/>
        <v>0</v>
      </c>
      <c r="S88">
        <f t="shared" si="11"/>
        <v>0.72726202171271703</v>
      </c>
      <c r="T88">
        <f t="shared" si="12"/>
        <v>0.31846845137189111</v>
      </c>
    </row>
    <row r="89" spans="1:20" x14ac:dyDescent="0.35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7"/>
        <v>0.90264679704282713</v>
      </c>
      <c r="P89">
        <f t="shared" si="8"/>
        <v>0.71149311639182578</v>
      </c>
      <c r="Q89">
        <f t="shared" si="9"/>
        <v>1</v>
      </c>
      <c r="R89">
        <f t="shared" si="10"/>
        <v>1</v>
      </c>
      <c r="S89">
        <f t="shared" si="11"/>
        <v>0.28850688360817422</v>
      </c>
      <c r="T89">
        <f t="shared" si="12"/>
        <v>1.2430363333249563</v>
      </c>
    </row>
    <row r="90" spans="1:20" x14ac:dyDescent="0.35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7"/>
        <v>-0.67434648783178375</v>
      </c>
      <c r="P90">
        <f t="shared" si="8"/>
        <v>0.33752427370218879</v>
      </c>
      <c r="Q90">
        <f t="shared" si="9"/>
        <v>0</v>
      </c>
      <c r="R90">
        <f t="shared" si="10"/>
        <v>1</v>
      </c>
      <c r="S90">
        <f t="shared" si="11"/>
        <v>0.33752427370218879</v>
      </c>
      <c r="T90">
        <f t="shared" si="12"/>
        <v>1.0861178491752619</v>
      </c>
    </row>
    <row r="91" spans="1:20" x14ac:dyDescent="0.35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7"/>
        <v>-0.35624682853655365</v>
      </c>
      <c r="P91">
        <f t="shared" si="8"/>
        <v>0.41186840557016724</v>
      </c>
      <c r="Q91">
        <f t="shared" si="9"/>
        <v>0</v>
      </c>
      <c r="R91">
        <f t="shared" si="10"/>
        <v>0</v>
      </c>
      <c r="S91">
        <f t="shared" si="11"/>
        <v>0.58813159442983276</v>
      </c>
      <c r="T91">
        <f t="shared" si="12"/>
        <v>0.53080455607226973</v>
      </c>
    </row>
    <row r="92" spans="1:20" x14ac:dyDescent="0.35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7"/>
        <v>-0.70196655027955224</v>
      </c>
      <c r="P92">
        <f t="shared" si="8"/>
        <v>0.33137636262164016</v>
      </c>
      <c r="Q92">
        <f t="shared" si="9"/>
        <v>0</v>
      </c>
      <c r="R92">
        <f t="shared" si="10"/>
        <v>0</v>
      </c>
      <c r="S92">
        <f t="shared" si="11"/>
        <v>0.66862363737835984</v>
      </c>
      <c r="T92">
        <f t="shared" si="12"/>
        <v>0.40253395207879339</v>
      </c>
    </row>
    <row r="93" spans="1:20" x14ac:dyDescent="0.35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7"/>
        <v>-2.6980796466368693</v>
      </c>
      <c r="P93">
        <f t="shared" si="8"/>
        <v>6.3086766860779422E-2</v>
      </c>
      <c r="Q93">
        <f t="shared" si="9"/>
        <v>0</v>
      </c>
      <c r="R93">
        <f t="shared" si="10"/>
        <v>0</v>
      </c>
      <c r="S93">
        <f t="shared" si="11"/>
        <v>0.93691323313922059</v>
      </c>
      <c r="T93">
        <f t="shared" si="12"/>
        <v>6.5164601736632341E-2</v>
      </c>
    </row>
    <row r="94" spans="1:20" x14ac:dyDescent="0.35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7"/>
        <v>-2.2127474166254659</v>
      </c>
      <c r="P94">
        <f t="shared" si="8"/>
        <v>9.8611593149460053E-2</v>
      </c>
      <c r="Q94">
        <f t="shared" si="9"/>
        <v>0</v>
      </c>
      <c r="R94">
        <f t="shared" si="10"/>
        <v>0</v>
      </c>
      <c r="S94">
        <f t="shared" si="11"/>
        <v>0.90138840685054</v>
      </c>
      <c r="T94">
        <f t="shared" si="12"/>
        <v>0.1038190300790526</v>
      </c>
    </row>
    <row r="95" spans="1:20" x14ac:dyDescent="0.35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7"/>
        <v>-4.022753544023983</v>
      </c>
      <c r="P95">
        <f t="shared" si="8"/>
        <v>1.7588697673434548E-2</v>
      </c>
      <c r="Q95">
        <f t="shared" si="9"/>
        <v>0</v>
      </c>
      <c r="R95">
        <f t="shared" si="10"/>
        <v>0</v>
      </c>
      <c r="S95">
        <f t="shared" si="11"/>
        <v>0.98241130232656548</v>
      </c>
      <c r="T95">
        <f t="shared" si="12"/>
        <v>1.7745216844195503E-2</v>
      </c>
    </row>
    <row r="96" spans="1:20" x14ac:dyDescent="0.35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7"/>
        <v>-2.4380660351208538</v>
      </c>
      <c r="P96">
        <f t="shared" si="8"/>
        <v>8.0315648678875792E-2</v>
      </c>
      <c r="Q96">
        <f t="shared" si="9"/>
        <v>0</v>
      </c>
      <c r="R96">
        <f t="shared" si="10"/>
        <v>0</v>
      </c>
      <c r="S96">
        <f t="shared" si="11"/>
        <v>0.91968435132112425</v>
      </c>
      <c r="T96">
        <f t="shared" si="12"/>
        <v>8.3724764200165849E-2</v>
      </c>
    </row>
    <row r="97" spans="1:20" x14ac:dyDescent="0.35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7"/>
        <v>2.5887273469692662</v>
      </c>
      <c r="P97">
        <f t="shared" si="8"/>
        <v>0.93013255777519777</v>
      </c>
      <c r="Q97">
        <f t="shared" si="9"/>
        <v>1</v>
      </c>
      <c r="R97">
        <f t="shared" si="10"/>
        <v>0</v>
      </c>
      <c r="S97">
        <f t="shared" si="11"/>
        <v>0.93013255777519777</v>
      </c>
      <c r="T97">
        <f t="shared" si="12"/>
        <v>7.2428167749869765E-2</v>
      </c>
    </row>
    <row r="98" spans="1:20" x14ac:dyDescent="0.35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7"/>
        <v>-2.0586021115034914</v>
      </c>
      <c r="P98">
        <f t="shared" si="8"/>
        <v>0.11318606725169041</v>
      </c>
      <c r="Q98">
        <f t="shared" si="9"/>
        <v>0</v>
      </c>
      <c r="R98">
        <f t="shared" si="10"/>
        <v>0</v>
      </c>
      <c r="S98">
        <f t="shared" si="11"/>
        <v>0.88681393274830955</v>
      </c>
      <c r="T98">
        <f t="shared" si="12"/>
        <v>0.12012009010008422</v>
      </c>
    </row>
    <row r="99" spans="1:20" x14ac:dyDescent="0.35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7"/>
        <v>-2.5469160599110641</v>
      </c>
      <c r="P99">
        <f t="shared" si="8"/>
        <v>7.2633940588448367E-2</v>
      </c>
      <c r="Q99">
        <f t="shared" si="9"/>
        <v>0</v>
      </c>
      <c r="R99">
        <f t="shared" si="10"/>
        <v>0</v>
      </c>
      <c r="S99">
        <f t="shared" si="11"/>
        <v>0.92736605941155159</v>
      </c>
      <c r="T99">
        <f t="shared" si="12"/>
        <v>7.5406905266673444E-2</v>
      </c>
    </row>
    <row r="100" spans="1:20" x14ac:dyDescent="0.35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1.3347131171594455</v>
      </c>
      <c r="P100">
        <f t="shared" si="8"/>
        <v>0.79161917099502743</v>
      </c>
      <c r="Q100">
        <f t="shared" si="9"/>
        <v>1</v>
      </c>
      <c r="R100">
        <f t="shared" si="10"/>
        <v>0</v>
      </c>
      <c r="S100">
        <f t="shared" si="11"/>
        <v>0.79161917099502743</v>
      </c>
      <c r="T100">
        <f t="shared" si="12"/>
        <v>0.23367484751384604</v>
      </c>
    </row>
    <row r="101" spans="1:20" x14ac:dyDescent="0.35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7"/>
        <v>1.2278876668255005</v>
      </c>
      <c r="P101">
        <f t="shared" si="8"/>
        <v>0.77344865273624563</v>
      </c>
      <c r="Q101">
        <f t="shared" si="9"/>
        <v>1</v>
      </c>
      <c r="R101">
        <f t="shared" si="10"/>
        <v>0</v>
      </c>
      <c r="S101">
        <f t="shared" si="11"/>
        <v>0.77344865273624563</v>
      </c>
      <c r="T101">
        <f t="shared" si="12"/>
        <v>0.2568959941896018</v>
      </c>
    </row>
    <row r="102" spans="1:20" x14ac:dyDescent="0.35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7"/>
        <v>1.3570174384080076</v>
      </c>
      <c r="P102">
        <f t="shared" si="8"/>
        <v>0.79527452568947388</v>
      </c>
      <c r="Q102">
        <f t="shared" si="9"/>
        <v>1</v>
      </c>
      <c r="R102">
        <f t="shared" si="10"/>
        <v>0</v>
      </c>
      <c r="S102">
        <f t="shared" si="11"/>
        <v>0.79527452568947388</v>
      </c>
      <c r="T102">
        <f t="shared" si="12"/>
        <v>0.2290679086027512</v>
      </c>
    </row>
    <row r="103" spans="1:20" x14ac:dyDescent="0.35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7"/>
        <v>-2.8372960913617433</v>
      </c>
      <c r="P103">
        <f t="shared" si="8"/>
        <v>5.5341725635771881E-2</v>
      </c>
      <c r="Q103">
        <f t="shared" si="9"/>
        <v>0</v>
      </c>
      <c r="R103">
        <f t="shared" si="10"/>
        <v>0</v>
      </c>
      <c r="S103">
        <f t="shared" si="11"/>
        <v>0.94465827436422811</v>
      </c>
      <c r="T103">
        <f t="shared" si="12"/>
        <v>5.6932031316046759E-2</v>
      </c>
    </row>
    <row r="104" spans="1:20" x14ac:dyDescent="0.35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7"/>
        <v>-1.6235124681336375</v>
      </c>
      <c r="P104">
        <f t="shared" si="8"/>
        <v>0.16472102738480773</v>
      </c>
      <c r="Q104">
        <f t="shared" si="9"/>
        <v>0</v>
      </c>
      <c r="R104">
        <f t="shared" si="10"/>
        <v>0</v>
      </c>
      <c r="S104">
        <f t="shared" si="11"/>
        <v>0.83527897261519224</v>
      </c>
      <c r="T104">
        <f t="shared" si="12"/>
        <v>0.17998951098955474</v>
      </c>
    </row>
    <row r="105" spans="1:20" x14ac:dyDescent="0.35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7"/>
        <v>4.1335185662498635</v>
      </c>
      <c r="P105">
        <f t="shared" si="8"/>
        <v>0.98422640420460039</v>
      </c>
      <c r="Q105">
        <f t="shared" si="9"/>
        <v>1</v>
      </c>
      <c r="R105">
        <f t="shared" si="10"/>
        <v>0</v>
      </c>
      <c r="S105">
        <f t="shared" si="11"/>
        <v>0.98422640420460039</v>
      </c>
      <c r="T105">
        <f t="shared" si="12"/>
        <v>1.589932282172888E-2</v>
      </c>
    </row>
    <row r="106" spans="1:20" x14ac:dyDescent="0.35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7"/>
        <v>7.2046320023957975</v>
      </c>
      <c r="P106">
        <f t="shared" si="8"/>
        <v>0.99925741622251685</v>
      </c>
      <c r="Q106">
        <f t="shared" si="9"/>
        <v>1</v>
      </c>
      <c r="R106">
        <f t="shared" si="10"/>
        <v>0</v>
      </c>
      <c r="S106">
        <f t="shared" si="11"/>
        <v>0.99925741622251685</v>
      </c>
      <c r="T106">
        <f t="shared" si="12"/>
        <v>7.4285962938699609E-4</v>
      </c>
    </row>
    <row r="107" spans="1:20" x14ac:dyDescent="0.35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7"/>
        <v>2.8666429845286192</v>
      </c>
      <c r="P107">
        <f t="shared" si="8"/>
        <v>0.94617263111262084</v>
      </c>
      <c r="Q107">
        <f t="shared" si="9"/>
        <v>1</v>
      </c>
      <c r="R107">
        <f t="shared" si="10"/>
        <v>0</v>
      </c>
      <c r="S107">
        <f t="shared" si="11"/>
        <v>0.94617263111262084</v>
      </c>
      <c r="T107">
        <f t="shared" si="12"/>
        <v>5.5330241258784219E-2</v>
      </c>
    </row>
    <row r="108" spans="1:20" x14ac:dyDescent="0.35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7"/>
        <v>1.4349141913443102</v>
      </c>
      <c r="P108">
        <f t="shared" si="8"/>
        <v>0.80766584911006456</v>
      </c>
      <c r="Q108">
        <f t="shared" si="9"/>
        <v>1</v>
      </c>
      <c r="R108">
        <f t="shared" si="10"/>
        <v>0</v>
      </c>
      <c r="S108">
        <f t="shared" si="11"/>
        <v>0.80766584911006456</v>
      </c>
      <c r="T108">
        <f t="shared" si="12"/>
        <v>0.21360685907930405</v>
      </c>
    </row>
    <row r="109" spans="1:20" x14ac:dyDescent="0.35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7"/>
        <v>-0.17998102863766796</v>
      </c>
      <c r="P109">
        <f t="shared" si="8"/>
        <v>0.45512581226050325</v>
      </c>
      <c r="Q109">
        <f t="shared" si="9"/>
        <v>0</v>
      </c>
      <c r="R109">
        <f t="shared" si="10"/>
        <v>0</v>
      </c>
      <c r="S109">
        <f t="shared" si="11"/>
        <v>0.5448741877394967</v>
      </c>
      <c r="T109">
        <f t="shared" si="12"/>
        <v>0.6072003591528462</v>
      </c>
    </row>
    <row r="110" spans="1:20" x14ac:dyDescent="0.35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7"/>
        <v>-3.2640591733069559</v>
      </c>
      <c r="P110">
        <f t="shared" si="8"/>
        <v>3.6824963942759179E-2</v>
      </c>
      <c r="Q110">
        <f t="shared" si="9"/>
        <v>0</v>
      </c>
      <c r="R110">
        <f t="shared" si="10"/>
        <v>0</v>
      </c>
      <c r="S110">
        <f t="shared" si="11"/>
        <v>0.96317503605724086</v>
      </c>
      <c r="T110">
        <f t="shared" si="12"/>
        <v>3.7520122478108806E-2</v>
      </c>
    </row>
    <row r="111" spans="1:20" x14ac:dyDescent="0.35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7"/>
        <v>-0.30658779052904173</v>
      </c>
      <c r="P111">
        <f t="shared" si="8"/>
        <v>0.42394783824797111</v>
      </c>
      <c r="Q111">
        <f t="shared" si="9"/>
        <v>0</v>
      </c>
      <c r="R111">
        <f t="shared" si="10"/>
        <v>0</v>
      </c>
      <c r="S111">
        <f t="shared" si="11"/>
        <v>0.57605216175202889</v>
      </c>
      <c r="T111">
        <f t="shared" si="12"/>
        <v>0.5515570637891557</v>
      </c>
    </row>
    <row r="112" spans="1:20" x14ac:dyDescent="0.35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7"/>
        <v>-1.5719872349444239</v>
      </c>
      <c r="P112">
        <f t="shared" si="8"/>
        <v>0.17193328018839757</v>
      </c>
      <c r="Q112">
        <f t="shared" si="9"/>
        <v>0</v>
      </c>
      <c r="R112">
        <f t="shared" si="10"/>
        <v>0</v>
      </c>
      <c r="S112">
        <f t="shared" si="11"/>
        <v>0.8280667198116024</v>
      </c>
      <c r="T112">
        <f t="shared" si="12"/>
        <v>0.18866154836061788</v>
      </c>
    </row>
    <row r="113" spans="1:20" x14ac:dyDescent="0.35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7"/>
        <v>-2.332162151878717</v>
      </c>
      <c r="P113">
        <f t="shared" si="8"/>
        <v>8.8494102576462522E-2</v>
      </c>
      <c r="Q113">
        <f t="shared" si="9"/>
        <v>0</v>
      </c>
      <c r="R113">
        <f t="shared" si="10"/>
        <v>0</v>
      </c>
      <c r="S113">
        <f t="shared" si="11"/>
        <v>0.91150589742353749</v>
      </c>
      <c r="T113">
        <f t="shared" si="12"/>
        <v>9.2657214864012474E-2</v>
      </c>
    </row>
    <row r="114" spans="1:20" x14ac:dyDescent="0.35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7"/>
        <v>0.62737638314632527</v>
      </c>
      <c r="P114">
        <f t="shared" si="8"/>
        <v>0.65189432728010221</v>
      </c>
      <c r="Q114">
        <f t="shared" si="9"/>
        <v>1</v>
      </c>
      <c r="R114">
        <f t="shared" si="10"/>
        <v>0</v>
      </c>
      <c r="S114">
        <f t="shared" si="11"/>
        <v>0.65189432728010221</v>
      </c>
      <c r="T114">
        <f t="shared" si="12"/>
        <v>0.42787280491478108</v>
      </c>
    </row>
    <row r="115" spans="1:20" x14ac:dyDescent="0.35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7"/>
        <v>-3.9815082101120911</v>
      </c>
      <c r="P115">
        <f t="shared" si="8"/>
        <v>1.8315752938455838E-2</v>
      </c>
      <c r="Q115">
        <f t="shared" si="9"/>
        <v>0</v>
      </c>
      <c r="R115">
        <f t="shared" si="10"/>
        <v>0</v>
      </c>
      <c r="S115">
        <f t="shared" si="11"/>
        <v>0.98168424706154411</v>
      </c>
      <c r="T115">
        <f t="shared" si="12"/>
        <v>1.8485563003481774E-2</v>
      </c>
    </row>
    <row r="116" spans="1:20" x14ac:dyDescent="0.35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7"/>
        <v>0.29193535125966186</v>
      </c>
      <c r="P116">
        <f t="shared" si="8"/>
        <v>0.57246987280544637</v>
      </c>
      <c r="Q116">
        <f t="shared" si="9"/>
        <v>1</v>
      </c>
      <c r="R116">
        <f t="shared" si="10"/>
        <v>0</v>
      </c>
      <c r="S116">
        <f t="shared" si="11"/>
        <v>0.57246987280544637</v>
      </c>
      <c r="T116">
        <f t="shared" si="12"/>
        <v>0.55779516885904712</v>
      </c>
    </row>
    <row r="117" spans="1:20" x14ac:dyDescent="0.35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7"/>
        <v>-0.71125767293147746</v>
      </c>
      <c r="P117">
        <f t="shared" si="8"/>
        <v>0.32932100002809078</v>
      </c>
      <c r="Q117">
        <f t="shared" si="9"/>
        <v>0</v>
      </c>
      <c r="R117">
        <f t="shared" si="10"/>
        <v>0</v>
      </c>
      <c r="S117">
        <f t="shared" si="11"/>
        <v>0.67067899997190916</v>
      </c>
      <c r="T117">
        <f t="shared" si="12"/>
        <v>0.39946464697956102</v>
      </c>
    </row>
    <row r="118" spans="1:20" x14ac:dyDescent="0.35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7"/>
        <v>4.3118204020805351</v>
      </c>
      <c r="P118">
        <f t="shared" si="8"/>
        <v>0.9867683079344205</v>
      </c>
      <c r="Q118">
        <f t="shared" si="9"/>
        <v>1</v>
      </c>
      <c r="R118">
        <f t="shared" si="10"/>
        <v>0</v>
      </c>
      <c r="S118">
        <f t="shared" si="11"/>
        <v>0.9867683079344205</v>
      </c>
      <c r="T118">
        <f t="shared" si="12"/>
        <v>1.3320010839401509E-2</v>
      </c>
    </row>
    <row r="119" spans="1:20" x14ac:dyDescent="0.35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7"/>
        <v>3.8471775039022535</v>
      </c>
      <c r="P119">
        <f t="shared" si="8"/>
        <v>0.97910599242868979</v>
      </c>
      <c r="Q119">
        <f t="shared" si="9"/>
        <v>1</v>
      </c>
      <c r="R119">
        <f t="shared" si="10"/>
        <v>0</v>
      </c>
      <c r="S119">
        <f t="shared" si="11"/>
        <v>0.97910599242868979</v>
      </c>
      <c r="T119">
        <f t="shared" si="12"/>
        <v>2.1115376296963802E-2</v>
      </c>
    </row>
    <row r="120" spans="1:20" x14ac:dyDescent="0.35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7"/>
        <v>0.42993521209485586</v>
      </c>
      <c r="P120">
        <f t="shared" si="8"/>
        <v>0.60585819757212778</v>
      </c>
      <c r="Q120">
        <f t="shared" si="9"/>
        <v>1</v>
      </c>
      <c r="R120">
        <f t="shared" si="10"/>
        <v>0</v>
      </c>
      <c r="S120">
        <f t="shared" si="11"/>
        <v>0.60585819757212778</v>
      </c>
      <c r="T120">
        <f t="shared" si="12"/>
        <v>0.50110931770021683</v>
      </c>
    </row>
    <row r="121" spans="1:20" x14ac:dyDescent="0.35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7"/>
        <v>4.2678713267220019</v>
      </c>
      <c r="P121">
        <f t="shared" si="8"/>
        <v>0.98618203400003979</v>
      </c>
      <c r="Q121">
        <f t="shared" si="9"/>
        <v>1</v>
      </c>
      <c r="R121">
        <f t="shared" si="10"/>
        <v>0</v>
      </c>
      <c r="S121">
        <f t="shared" si="11"/>
        <v>0.98618203400003979</v>
      </c>
      <c r="T121">
        <f t="shared" si="12"/>
        <v>1.39143227581315E-2</v>
      </c>
    </row>
    <row r="122" spans="1:20" x14ac:dyDescent="0.35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7"/>
        <v>-0.77888147551935383</v>
      </c>
      <c r="P122">
        <f t="shared" si="8"/>
        <v>0.31456100374831747</v>
      </c>
      <c r="Q122">
        <f t="shared" si="9"/>
        <v>0</v>
      </c>
      <c r="R122">
        <f t="shared" si="10"/>
        <v>0</v>
      </c>
      <c r="S122">
        <f t="shared" si="11"/>
        <v>0.68543899625168248</v>
      </c>
      <c r="T122">
        <f t="shared" si="12"/>
        <v>0.37769577554926387</v>
      </c>
    </row>
    <row r="123" spans="1:20" x14ac:dyDescent="0.35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7"/>
        <v>2.8199651837175885</v>
      </c>
      <c r="P123">
        <f t="shared" si="8"/>
        <v>0.94374521805263845</v>
      </c>
      <c r="Q123">
        <f t="shared" si="9"/>
        <v>1</v>
      </c>
      <c r="R123">
        <f t="shared" si="10"/>
        <v>0</v>
      </c>
      <c r="S123">
        <f t="shared" si="11"/>
        <v>0.94374521805263845</v>
      </c>
      <c r="T123">
        <f t="shared" si="12"/>
        <v>5.7899045395831412E-2</v>
      </c>
    </row>
    <row r="124" spans="1:20" x14ac:dyDescent="0.35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7"/>
        <v>-0.95164657558611587</v>
      </c>
      <c r="P124">
        <f t="shared" si="8"/>
        <v>0.27855380291880449</v>
      </c>
      <c r="Q124">
        <f t="shared" si="9"/>
        <v>0</v>
      </c>
      <c r="R124">
        <f t="shared" si="10"/>
        <v>0</v>
      </c>
      <c r="S124">
        <f t="shared" si="11"/>
        <v>0.72144619708119551</v>
      </c>
      <c r="T124">
        <f t="shared" si="12"/>
        <v>0.32649747446879474</v>
      </c>
    </row>
    <row r="125" spans="1:20" x14ac:dyDescent="0.35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7"/>
        <v>-0.36251710009157634</v>
      </c>
      <c r="P125">
        <f t="shared" si="8"/>
        <v>0.41035038384238565</v>
      </c>
      <c r="Q125">
        <f t="shared" si="9"/>
        <v>0</v>
      </c>
      <c r="R125">
        <f t="shared" si="10"/>
        <v>0</v>
      </c>
      <c r="S125">
        <f t="shared" si="11"/>
        <v>0.58964961615761435</v>
      </c>
      <c r="T125">
        <f t="shared" si="12"/>
        <v>0.52822678941285117</v>
      </c>
    </row>
    <row r="126" spans="1:20" x14ac:dyDescent="0.35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7"/>
        <v>-4.6955441558840842</v>
      </c>
      <c r="P126">
        <f t="shared" si="8"/>
        <v>9.0531857131609297E-3</v>
      </c>
      <c r="Q126">
        <f t="shared" si="9"/>
        <v>0</v>
      </c>
      <c r="R126">
        <f t="shared" si="10"/>
        <v>0</v>
      </c>
      <c r="S126">
        <f t="shared" si="11"/>
        <v>0.99094681428683906</v>
      </c>
      <c r="T126">
        <f t="shared" si="12"/>
        <v>9.0944148241136336E-3</v>
      </c>
    </row>
    <row r="127" spans="1:20" x14ac:dyDescent="0.35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7"/>
        <v>-2.4039577832365016</v>
      </c>
      <c r="P127">
        <f t="shared" si="8"/>
        <v>8.2871393193981846E-2</v>
      </c>
      <c r="Q127">
        <f t="shared" si="9"/>
        <v>0</v>
      </c>
      <c r="R127">
        <f t="shared" si="10"/>
        <v>1</v>
      </c>
      <c r="S127">
        <f t="shared" si="11"/>
        <v>8.2871393193981846E-2</v>
      </c>
      <c r="T127">
        <f t="shared" si="12"/>
        <v>2.4904653524611047</v>
      </c>
    </row>
    <row r="128" spans="1:20" x14ac:dyDescent="0.35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7"/>
        <v>-1.6124020852213015</v>
      </c>
      <c r="P128">
        <f t="shared" si="8"/>
        <v>0.16625538267518877</v>
      </c>
      <c r="Q128">
        <f t="shared" si="9"/>
        <v>0</v>
      </c>
      <c r="R128">
        <f t="shared" si="10"/>
        <v>0</v>
      </c>
      <c r="S128">
        <f t="shared" si="11"/>
        <v>0.8337446173248112</v>
      </c>
      <c r="T128">
        <f t="shared" si="12"/>
        <v>0.18182813775537895</v>
      </c>
    </row>
    <row r="129" spans="1:20" x14ac:dyDescent="0.35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7"/>
        <v>6.3394654276475269</v>
      </c>
      <c r="P129">
        <f t="shared" si="8"/>
        <v>0.9982378649650141</v>
      </c>
      <c r="Q129">
        <f t="shared" si="9"/>
        <v>1</v>
      </c>
      <c r="R129">
        <f t="shared" si="10"/>
        <v>0</v>
      </c>
      <c r="S129">
        <f t="shared" si="11"/>
        <v>0.9982378649650141</v>
      </c>
      <c r="T129">
        <f t="shared" si="12"/>
        <v>1.7636894212206859E-3</v>
      </c>
    </row>
    <row r="130" spans="1:20" x14ac:dyDescent="0.35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7"/>
        <v>-1.2008318112173466</v>
      </c>
      <c r="P130">
        <f t="shared" si="8"/>
        <v>0.23132727496278599</v>
      </c>
      <c r="Q130">
        <f t="shared" si="9"/>
        <v>0</v>
      </c>
      <c r="R130">
        <f t="shared" si="10"/>
        <v>0</v>
      </c>
      <c r="S130">
        <f t="shared" si="11"/>
        <v>0.76867272503721407</v>
      </c>
      <c r="T130">
        <f t="shared" si="12"/>
        <v>0.26308998519070576</v>
      </c>
    </row>
    <row r="131" spans="1:20" x14ac:dyDescent="0.35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7"/>
        <v>3.5739580066283292</v>
      </c>
      <c r="P131">
        <f t="shared" si="8"/>
        <v>0.97272041312264967</v>
      </c>
      <c r="Q131">
        <f t="shared" si="9"/>
        <v>1</v>
      </c>
      <c r="R131">
        <f t="shared" si="10"/>
        <v>0</v>
      </c>
      <c r="S131">
        <f t="shared" si="11"/>
        <v>0.97272041312264967</v>
      </c>
      <c r="T131">
        <f t="shared" si="12"/>
        <v>2.7658583285361346E-2</v>
      </c>
    </row>
    <row r="132" spans="1:20" x14ac:dyDescent="0.35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7"/>
        <v>-1.2244140255029041</v>
      </c>
      <c r="P132">
        <f t="shared" si="8"/>
        <v>0.22716059705356612</v>
      </c>
      <c r="Q132">
        <f t="shared" si="9"/>
        <v>0</v>
      </c>
      <c r="R132">
        <f t="shared" si="10"/>
        <v>1</v>
      </c>
      <c r="S132">
        <f t="shared" si="11"/>
        <v>0.22716059705356612</v>
      </c>
      <c r="T132">
        <f t="shared" si="12"/>
        <v>1.4820980356370121</v>
      </c>
    </row>
    <row r="133" spans="1:20" x14ac:dyDescent="0.35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7"/>
        <v>-2.0807256478730567</v>
      </c>
      <c r="P133">
        <f t="shared" si="8"/>
        <v>0.1109843491272143</v>
      </c>
      <c r="Q133">
        <f t="shared" si="9"/>
        <v>0</v>
      </c>
      <c r="R133">
        <f t="shared" si="10"/>
        <v>0</v>
      </c>
      <c r="S133">
        <f t="shared" si="11"/>
        <v>0.88901565087278567</v>
      </c>
      <c r="T133">
        <f t="shared" si="12"/>
        <v>0.11764043859194424</v>
      </c>
    </row>
    <row r="134" spans="1:20" x14ac:dyDescent="0.35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-1.7874224764370092</v>
      </c>
      <c r="P134">
        <f t="shared" si="8"/>
        <v>0.14338902621315594</v>
      </c>
      <c r="Q134">
        <f t="shared" si="9"/>
        <v>0</v>
      </c>
      <c r="R134">
        <f t="shared" si="10"/>
        <v>0</v>
      </c>
      <c r="S134">
        <f t="shared" si="11"/>
        <v>0.85661097378684403</v>
      </c>
      <c r="T134">
        <f t="shared" si="12"/>
        <v>0.15477140301805908</v>
      </c>
    </row>
    <row r="135" spans="1:20" x14ac:dyDescent="0.35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ref="O135:O198" si="13">SUMPRODUCT(A$4:M$4,A135:M135)+N$4</f>
        <v>-2.0362499920214763</v>
      </c>
      <c r="P135">
        <f t="shared" ref="P135:P198" si="14">1/(1+EXP(0-O135))</f>
        <v>0.11544913332926156</v>
      </c>
      <c r="Q135">
        <f t="shared" ref="Q135:Q198" si="15">IF(P135&lt;=0.5, 0, 1)</f>
        <v>0</v>
      </c>
      <c r="R135">
        <f t="shared" ref="R135:R198" si="16">IF(N135=Q135, 0, 1)</f>
        <v>0</v>
      </c>
      <c r="S135">
        <f t="shared" ref="S135:S198" si="17">IF(N135=1, P135, 1-P135)</f>
        <v>0.88455086667073846</v>
      </c>
      <c r="T135">
        <f t="shared" ref="T135:T198" si="18">IF(S135=0, 100000, -LN(S135))</f>
        <v>0.12267525808082734</v>
      </c>
    </row>
    <row r="136" spans="1:20" x14ac:dyDescent="0.35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3"/>
        <v>-2.5463730842377386</v>
      </c>
      <c r="P136">
        <f t="shared" si="14"/>
        <v>7.267052296830151E-2</v>
      </c>
      <c r="Q136">
        <f t="shared" si="15"/>
        <v>0</v>
      </c>
      <c r="R136">
        <f t="shared" si="16"/>
        <v>0</v>
      </c>
      <c r="S136">
        <f t="shared" si="17"/>
        <v>0.92732947703169843</v>
      </c>
      <c r="T136">
        <f t="shared" si="18"/>
        <v>7.5446353660373736E-2</v>
      </c>
    </row>
    <row r="137" spans="1:20" x14ac:dyDescent="0.35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3"/>
        <v>4.3258782332168852</v>
      </c>
      <c r="P137">
        <f t="shared" si="14"/>
        <v>0.98695060516960775</v>
      </c>
      <c r="Q137">
        <f t="shared" si="15"/>
        <v>1</v>
      </c>
      <c r="R137">
        <f t="shared" si="16"/>
        <v>0</v>
      </c>
      <c r="S137">
        <f t="shared" si="17"/>
        <v>0.98695060516960775</v>
      </c>
      <c r="T137">
        <f t="shared" si="18"/>
        <v>1.3135286221832798E-2</v>
      </c>
    </row>
    <row r="138" spans="1:20" x14ac:dyDescent="0.35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3"/>
        <v>3.2131922265915396</v>
      </c>
      <c r="P138">
        <f t="shared" si="14"/>
        <v>0.96132771703700504</v>
      </c>
      <c r="Q138">
        <f t="shared" si="15"/>
        <v>1</v>
      </c>
      <c r="R138">
        <f t="shared" si="16"/>
        <v>0</v>
      </c>
      <c r="S138">
        <f t="shared" si="17"/>
        <v>0.96132771703700504</v>
      </c>
      <c r="T138">
        <f t="shared" si="18"/>
        <v>3.9439911456988989E-2</v>
      </c>
    </row>
    <row r="139" spans="1:20" x14ac:dyDescent="0.35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3"/>
        <v>-4.5280846778935029</v>
      </c>
      <c r="P139">
        <f t="shared" si="14"/>
        <v>1.0685922003799279E-2</v>
      </c>
      <c r="Q139">
        <f t="shared" si="15"/>
        <v>0</v>
      </c>
      <c r="R139">
        <f t="shared" si="16"/>
        <v>0</v>
      </c>
      <c r="S139">
        <f t="shared" si="17"/>
        <v>0.98931407799620075</v>
      </c>
      <c r="T139">
        <f t="shared" si="18"/>
        <v>1.0743426494226792E-2</v>
      </c>
    </row>
    <row r="140" spans="1:20" x14ac:dyDescent="0.35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3"/>
        <v>0.42429308956337231</v>
      </c>
      <c r="P140">
        <f t="shared" si="14"/>
        <v>0.60451009072665773</v>
      </c>
      <c r="Q140">
        <f t="shared" si="15"/>
        <v>1</v>
      </c>
      <c r="R140">
        <f t="shared" si="16"/>
        <v>0</v>
      </c>
      <c r="S140">
        <f t="shared" si="17"/>
        <v>0.60451009072665773</v>
      </c>
      <c r="T140">
        <f t="shared" si="18"/>
        <v>0.50333691638396794</v>
      </c>
    </row>
    <row r="141" spans="1:20" x14ac:dyDescent="0.35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3"/>
        <v>-1.5682080890228463</v>
      </c>
      <c r="P141">
        <f t="shared" si="14"/>
        <v>0.17247199287203888</v>
      </c>
      <c r="Q141">
        <f t="shared" si="15"/>
        <v>0</v>
      </c>
      <c r="R141">
        <f t="shared" si="16"/>
        <v>0</v>
      </c>
      <c r="S141">
        <f t="shared" si="17"/>
        <v>0.82752800712796115</v>
      </c>
      <c r="T141">
        <f t="shared" si="18"/>
        <v>0.18931232683180776</v>
      </c>
    </row>
    <row r="142" spans="1:20" x14ac:dyDescent="0.35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3"/>
        <v>-1.5852806157709551</v>
      </c>
      <c r="P142">
        <f t="shared" si="14"/>
        <v>0.17004891762387062</v>
      </c>
      <c r="Q142">
        <f t="shared" si="15"/>
        <v>0</v>
      </c>
      <c r="R142">
        <f t="shared" si="16"/>
        <v>0</v>
      </c>
      <c r="S142">
        <f t="shared" si="17"/>
        <v>0.82995108237612936</v>
      </c>
      <c r="T142">
        <f t="shared" si="18"/>
        <v>0.18638851682457025</v>
      </c>
    </row>
    <row r="143" spans="1:20" x14ac:dyDescent="0.35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3"/>
        <v>-0.50516373262547098</v>
      </c>
      <c r="P143">
        <f t="shared" si="14"/>
        <v>0.3763279420214693</v>
      </c>
      <c r="Q143">
        <f t="shared" si="15"/>
        <v>0</v>
      </c>
      <c r="R143">
        <f t="shared" si="16"/>
        <v>1</v>
      </c>
      <c r="S143">
        <f t="shared" si="17"/>
        <v>0.3763279420214693</v>
      </c>
      <c r="T143">
        <f t="shared" si="18"/>
        <v>0.97729432949832273</v>
      </c>
    </row>
    <row r="144" spans="1:20" x14ac:dyDescent="0.35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3"/>
        <v>-1.9945889426060575</v>
      </c>
      <c r="P144">
        <f t="shared" si="14"/>
        <v>0.11977221999659436</v>
      </c>
      <c r="Q144">
        <f t="shared" si="15"/>
        <v>0</v>
      </c>
      <c r="R144">
        <f t="shared" si="16"/>
        <v>0</v>
      </c>
      <c r="S144">
        <f t="shared" si="17"/>
        <v>0.88022778000340562</v>
      </c>
      <c r="T144">
        <f t="shared" si="18"/>
        <v>0.12757456409045353</v>
      </c>
    </row>
    <row r="145" spans="1:20" x14ac:dyDescent="0.35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3"/>
        <v>-2.4236952294767091</v>
      </c>
      <c r="P145">
        <f t="shared" si="14"/>
        <v>8.1383571366970664E-2</v>
      </c>
      <c r="Q145">
        <f t="shared" si="15"/>
        <v>0</v>
      </c>
      <c r="R145">
        <f t="shared" si="16"/>
        <v>0</v>
      </c>
      <c r="S145">
        <f t="shared" si="17"/>
        <v>0.91861642863302939</v>
      </c>
      <c r="T145">
        <f t="shared" si="18"/>
        <v>8.4886622825124131E-2</v>
      </c>
    </row>
    <row r="146" spans="1:20" x14ac:dyDescent="0.35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3"/>
        <v>0.91328047428192782</v>
      </c>
      <c r="P146">
        <f t="shared" si="14"/>
        <v>0.71367097992820228</v>
      </c>
      <c r="Q146">
        <f t="shared" si="15"/>
        <v>1</v>
      </c>
      <c r="R146">
        <f t="shared" si="16"/>
        <v>0</v>
      </c>
      <c r="S146">
        <f t="shared" si="17"/>
        <v>0.71367097992820228</v>
      </c>
      <c r="T146">
        <f t="shared" si="18"/>
        <v>0.33733323527471426</v>
      </c>
    </row>
    <row r="147" spans="1:20" x14ac:dyDescent="0.35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3"/>
        <v>4.392687424839707</v>
      </c>
      <c r="P147">
        <f t="shared" si="14"/>
        <v>0.98778363729645391</v>
      </c>
      <c r="Q147">
        <f t="shared" si="15"/>
        <v>1</v>
      </c>
      <c r="R147">
        <f t="shared" si="16"/>
        <v>0</v>
      </c>
      <c r="S147">
        <f t="shared" si="17"/>
        <v>0.98778363729645391</v>
      </c>
      <c r="T147">
        <f t="shared" si="18"/>
        <v>1.2291595806843603E-2</v>
      </c>
    </row>
    <row r="148" spans="1:20" x14ac:dyDescent="0.35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3"/>
        <v>-4.2006486083872971</v>
      </c>
      <c r="P148">
        <f t="shared" si="14"/>
        <v>1.4764593676139647E-2</v>
      </c>
      <c r="Q148">
        <f t="shared" si="15"/>
        <v>0</v>
      </c>
      <c r="R148">
        <f t="shared" si="16"/>
        <v>0</v>
      </c>
      <c r="S148">
        <f t="shared" si="17"/>
        <v>0.98523540632386031</v>
      </c>
      <c r="T148">
        <f t="shared" si="18"/>
        <v>1.487467517215736E-2</v>
      </c>
    </row>
    <row r="149" spans="1:20" x14ac:dyDescent="0.35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3"/>
        <v>1.8859522975087053</v>
      </c>
      <c r="P149">
        <f t="shared" si="14"/>
        <v>0.86829332485625488</v>
      </c>
      <c r="Q149">
        <f t="shared" si="15"/>
        <v>1</v>
      </c>
      <c r="R149">
        <f t="shared" si="16"/>
        <v>0</v>
      </c>
      <c r="S149">
        <f t="shared" si="17"/>
        <v>0.86829332485625488</v>
      </c>
      <c r="T149">
        <f t="shared" si="18"/>
        <v>0.14122568954585332</v>
      </c>
    </row>
    <row r="150" spans="1:20" x14ac:dyDescent="0.35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3"/>
        <v>5.0235110173758564</v>
      </c>
      <c r="P150">
        <f t="shared" si="14"/>
        <v>0.99346165257936747</v>
      </c>
      <c r="Q150">
        <f t="shared" si="15"/>
        <v>1</v>
      </c>
      <c r="R150">
        <f t="shared" si="16"/>
        <v>0</v>
      </c>
      <c r="S150">
        <f t="shared" si="17"/>
        <v>0.99346165257936747</v>
      </c>
      <c r="T150">
        <f t="shared" si="18"/>
        <v>6.5598160448446588E-3</v>
      </c>
    </row>
    <row r="151" spans="1:20" x14ac:dyDescent="0.35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3"/>
        <v>3.0535995512789942</v>
      </c>
      <c r="P151">
        <f t="shared" si="14"/>
        <v>0.95493767526896944</v>
      </c>
      <c r="Q151">
        <f t="shared" si="15"/>
        <v>1</v>
      </c>
      <c r="R151">
        <f t="shared" si="16"/>
        <v>0</v>
      </c>
      <c r="S151">
        <f t="shared" si="17"/>
        <v>0.95493767526896944</v>
      </c>
      <c r="T151">
        <f t="shared" si="18"/>
        <v>4.6109202129492363E-2</v>
      </c>
    </row>
    <row r="152" spans="1:20" x14ac:dyDescent="0.35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3"/>
        <v>2.4082771444305013</v>
      </c>
      <c r="P152">
        <f t="shared" si="14"/>
        <v>0.91745630341803108</v>
      </c>
      <c r="Q152">
        <f t="shared" si="15"/>
        <v>1</v>
      </c>
      <c r="R152">
        <f t="shared" si="16"/>
        <v>0</v>
      </c>
      <c r="S152">
        <f t="shared" si="17"/>
        <v>0.91745630341803108</v>
      </c>
      <c r="T152">
        <f t="shared" si="18"/>
        <v>8.6150325889969931E-2</v>
      </c>
    </row>
    <row r="153" spans="1:20" x14ac:dyDescent="0.35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3"/>
        <v>-2.9400400677674901</v>
      </c>
      <c r="P153">
        <f t="shared" si="14"/>
        <v>5.0209362388815452E-2</v>
      </c>
      <c r="Q153">
        <f t="shared" si="15"/>
        <v>0</v>
      </c>
      <c r="R153">
        <f t="shared" si="16"/>
        <v>0</v>
      </c>
      <c r="S153">
        <f t="shared" si="17"/>
        <v>0.94979063761118454</v>
      </c>
      <c r="T153">
        <f t="shared" si="18"/>
        <v>5.1513700137024339E-2</v>
      </c>
    </row>
    <row r="154" spans="1:20" x14ac:dyDescent="0.35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3"/>
        <v>-4.1756527930182843</v>
      </c>
      <c r="P154">
        <f t="shared" si="14"/>
        <v>1.5132642665310976E-2</v>
      </c>
      <c r="Q154">
        <f t="shared" si="15"/>
        <v>0</v>
      </c>
      <c r="R154">
        <f t="shared" si="16"/>
        <v>0</v>
      </c>
      <c r="S154">
        <f t="shared" si="17"/>
        <v>0.984867357334689</v>
      </c>
      <c r="T154">
        <f t="shared" si="18"/>
        <v>1.5248309482247405E-2</v>
      </c>
    </row>
    <row r="155" spans="1:20" x14ac:dyDescent="0.35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3"/>
        <v>-1.758720885031293</v>
      </c>
      <c r="P155">
        <f t="shared" si="14"/>
        <v>0.14695061230405651</v>
      </c>
      <c r="Q155">
        <f t="shared" si="15"/>
        <v>0</v>
      </c>
      <c r="R155">
        <f t="shared" si="16"/>
        <v>0</v>
      </c>
      <c r="S155">
        <f t="shared" si="17"/>
        <v>0.85304938769594352</v>
      </c>
      <c r="T155">
        <f t="shared" si="18"/>
        <v>0.15893783434361858</v>
      </c>
    </row>
    <row r="156" spans="1:20" x14ac:dyDescent="0.35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3"/>
        <v>-2.4310837837149082</v>
      </c>
      <c r="P156">
        <f t="shared" si="14"/>
        <v>8.0832906636064891E-2</v>
      </c>
      <c r="Q156">
        <f t="shared" si="15"/>
        <v>0</v>
      </c>
      <c r="R156">
        <f t="shared" si="16"/>
        <v>1</v>
      </c>
      <c r="S156">
        <f t="shared" si="17"/>
        <v>8.0832906636064891E-2</v>
      </c>
      <c r="T156">
        <f t="shared" si="18"/>
        <v>2.5153711360157356</v>
      </c>
    </row>
    <row r="157" spans="1:20" x14ac:dyDescent="0.35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3"/>
        <v>4.1306619037797478</v>
      </c>
      <c r="P157">
        <f t="shared" si="14"/>
        <v>0.98418199371960946</v>
      </c>
      <c r="Q157">
        <f t="shared" si="15"/>
        <v>1</v>
      </c>
      <c r="R157">
        <f t="shared" si="16"/>
        <v>0</v>
      </c>
      <c r="S157">
        <f t="shared" si="17"/>
        <v>0.98418199371960946</v>
      </c>
      <c r="T157">
        <f t="shared" si="18"/>
        <v>1.5944446064492222E-2</v>
      </c>
    </row>
    <row r="158" spans="1:20" x14ac:dyDescent="0.35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3"/>
        <v>-2.3232106091166589</v>
      </c>
      <c r="P158">
        <f t="shared" si="14"/>
        <v>8.9218824699006868E-2</v>
      </c>
      <c r="Q158">
        <f t="shared" si="15"/>
        <v>0</v>
      </c>
      <c r="R158">
        <f t="shared" si="16"/>
        <v>0</v>
      </c>
      <c r="S158">
        <f t="shared" si="17"/>
        <v>0.91078117530099312</v>
      </c>
      <c r="T158">
        <f t="shared" si="18"/>
        <v>9.3452613318625116E-2</v>
      </c>
    </row>
    <row r="159" spans="1:20" x14ac:dyDescent="0.35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3"/>
        <v>-4.1430834626650261</v>
      </c>
      <c r="P159">
        <f t="shared" si="14"/>
        <v>1.5625788499747398E-2</v>
      </c>
      <c r="Q159">
        <f t="shared" si="15"/>
        <v>0</v>
      </c>
      <c r="R159">
        <f t="shared" si="16"/>
        <v>0</v>
      </c>
      <c r="S159">
        <f t="shared" si="17"/>
        <v>0.98437421150025262</v>
      </c>
      <c r="T159">
        <f t="shared" si="18"/>
        <v>1.5749157984076372E-2</v>
      </c>
    </row>
    <row r="160" spans="1:20" x14ac:dyDescent="0.35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3"/>
        <v>-0.93388476243122209</v>
      </c>
      <c r="P160">
        <f t="shared" si="14"/>
        <v>0.28213724548158808</v>
      </c>
      <c r="Q160">
        <f t="shared" si="15"/>
        <v>0</v>
      </c>
      <c r="R160">
        <f t="shared" si="16"/>
        <v>0</v>
      </c>
      <c r="S160">
        <f t="shared" si="17"/>
        <v>0.71786275451841197</v>
      </c>
      <c r="T160">
        <f t="shared" si="18"/>
        <v>0.33147687790114944</v>
      </c>
    </row>
    <row r="161" spans="1:20" x14ac:dyDescent="0.35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3"/>
        <v>-0.97858868287008693</v>
      </c>
      <c r="P161">
        <f t="shared" si="14"/>
        <v>0.27317190956605419</v>
      </c>
      <c r="Q161">
        <f t="shared" si="15"/>
        <v>0</v>
      </c>
      <c r="R161">
        <f t="shared" si="16"/>
        <v>1</v>
      </c>
      <c r="S161">
        <f t="shared" si="17"/>
        <v>0.27317190956605419</v>
      </c>
      <c r="T161">
        <f t="shared" si="18"/>
        <v>1.2976539766082491</v>
      </c>
    </row>
    <row r="162" spans="1:20" x14ac:dyDescent="0.35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3"/>
        <v>5.5348025934832918</v>
      </c>
      <c r="P162">
        <f t="shared" si="14"/>
        <v>0.99606852974463589</v>
      </c>
      <c r="Q162">
        <f t="shared" si="15"/>
        <v>1</v>
      </c>
      <c r="R162">
        <f t="shared" si="16"/>
        <v>0</v>
      </c>
      <c r="S162">
        <f t="shared" si="17"/>
        <v>0.99606852974463589</v>
      </c>
      <c r="T162">
        <f t="shared" si="18"/>
        <v>3.939218799997952E-3</v>
      </c>
    </row>
    <row r="163" spans="1:20" x14ac:dyDescent="0.35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3"/>
        <v>-0.26912515097340872</v>
      </c>
      <c r="P163">
        <f t="shared" si="14"/>
        <v>0.43312188178859345</v>
      </c>
      <c r="Q163">
        <f t="shared" si="15"/>
        <v>0</v>
      </c>
      <c r="R163">
        <f t="shared" si="16"/>
        <v>1</v>
      </c>
      <c r="S163">
        <f t="shared" si="17"/>
        <v>0.43312188178859345</v>
      </c>
      <c r="T163">
        <f t="shared" si="18"/>
        <v>0.8367361083975795</v>
      </c>
    </row>
    <row r="164" spans="1:20" x14ac:dyDescent="0.35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3"/>
        <v>2.027215960777637</v>
      </c>
      <c r="P164">
        <f t="shared" si="14"/>
        <v>0.88362509582730453</v>
      </c>
      <c r="Q164">
        <f t="shared" si="15"/>
        <v>1</v>
      </c>
      <c r="R164">
        <f t="shared" si="16"/>
        <v>0</v>
      </c>
      <c r="S164">
        <f t="shared" si="17"/>
        <v>0.88362509582730453</v>
      </c>
      <c r="T164">
        <f t="shared" si="18"/>
        <v>0.12372240604309212</v>
      </c>
    </row>
    <row r="165" spans="1:20" x14ac:dyDescent="0.35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3"/>
        <v>2.211589372643564</v>
      </c>
      <c r="P165">
        <f t="shared" si="14"/>
        <v>0.90128542353570307</v>
      </c>
      <c r="Q165">
        <f t="shared" si="15"/>
        <v>1</v>
      </c>
      <c r="R165">
        <f t="shared" si="16"/>
        <v>0</v>
      </c>
      <c r="S165">
        <f t="shared" si="17"/>
        <v>0.90128542353570307</v>
      </c>
      <c r="T165">
        <f t="shared" si="18"/>
        <v>0.10393328626141134</v>
      </c>
    </row>
    <row r="166" spans="1:20" x14ac:dyDescent="0.35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3"/>
        <v>0.14878932695916447</v>
      </c>
      <c r="P166">
        <f t="shared" si="14"/>
        <v>0.53712885962589063</v>
      </c>
      <c r="Q166">
        <f t="shared" si="15"/>
        <v>1</v>
      </c>
      <c r="R166">
        <f t="shared" si="16"/>
        <v>1</v>
      </c>
      <c r="S166">
        <f t="shared" si="17"/>
        <v>0.46287114037410937</v>
      </c>
      <c r="T166">
        <f t="shared" si="18"/>
        <v>0.77030657815934001</v>
      </c>
    </row>
    <row r="167" spans="1:20" x14ac:dyDescent="0.35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3"/>
        <v>-1.1271335685782482</v>
      </c>
      <c r="P167">
        <f t="shared" si="14"/>
        <v>0.24469047852413928</v>
      </c>
      <c r="Q167">
        <f t="shared" si="15"/>
        <v>0</v>
      </c>
      <c r="R167">
        <f t="shared" si="16"/>
        <v>0</v>
      </c>
      <c r="S167">
        <f t="shared" si="17"/>
        <v>0.75530952147586072</v>
      </c>
      <c r="T167">
        <f t="shared" si="18"/>
        <v>0.28062765152497982</v>
      </c>
    </row>
    <row r="168" spans="1:20" x14ac:dyDescent="0.35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3"/>
        <v>-1.9744921699086655</v>
      </c>
      <c r="P168">
        <f t="shared" si="14"/>
        <v>0.12190720142925304</v>
      </c>
      <c r="Q168">
        <f t="shared" si="15"/>
        <v>0</v>
      </c>
      <c r="R168">
        <f t="shared" si="16"/>
        <v>0</v>
      </c>
      <c r="S168">
        <f t="shared" si="17"/>
        <v>0.87809279857074696</v>
      </c>
      <c r="T168">
        <f t="shared" si="18"/>
        <v>0.13000299779917684</v>
      </c>
    </row>
    <row r="169" spans="1:20" x14ac:dyDescent="0.35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3"/>
        <v>-2.91901102268816</v>
      </c>
      <c r="P169">
        <f t="shared" si="14"/>
        <v>5.1221741984741581E-2</v>
      </c>
      <c r="Q169">
        <f t="shared" si="15"/>
        <v>0</v>
      </c>
      <c r="R169">
        <f t="shared" si="16"/>
        <v>0</v>
      </c>
      <c r="S169">
        <f t="shared" si="17"/>
        <v>0.94877825801525839</v>
      </c>
      <c r="T169">
        <f t="shared" si="18"/>
        <v>5.2580166246535311E-2</v>
      </c>
    </row>
    <row r="170" spans="1:20" x14ac:dyDescent="0.35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3"/>
        <v>-0.7455595364487424</v>
      </c>
      <c r="P170">
        <f t="shared" si="14"/>
        <v>0.32178962444491366</v>
      </c>
      <c r="Q170">
        <f t="shared" si="15"/>
        <v>0</v>
      </c>
      <c r="R170">
        <f t="shared" si="16"/>
        <v>0</v>
      </c>
      <c r="S170">
        <f t="shared" si="17"/>
        <v>0.67821037555508634</v>
      </c>
      <c r="T170">
        <f t="shared" si="18"/>
        <v>0.38829775074190953</v>
      </c>
    </row>
    <row r="171" spans="1:20" x14ac:dyDescent="0.35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3"/>
        <v>7.0164474425154513</v>
      </c>
      <c r="P171">
        <f t="shared" si="14"/>
        <v>0.99910379739325472</v>
      </c>
      <c r="Q171">
        <f t="shared" si="15"/>
        <v>1</v>
      </c>
      <c r="R171">
        <f t="shared" si="16"/>
        <v>0</v>
      </c>
      <c r="S171">
        <f t="shared" si="17"/>
        <v>0.99910379739325472</v>
      </c>
      <c r="T171">
        <f t="shared" si="18"/>
        <v>8.9660443639990749E-4</v>
      </c>
    </row>
    <row r="172" spans="1:20" x14ac:dyDescent="0.35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3"/>
        <v>3.97349389748865</v>
      </c>
      <c r="P172">
        <f t="shared" si="14"/>
        <v>0.98153958977129041</v>
      </c>
      <c r="Q172">
        <f t="shared" si="15"/>
        <v>1</v>
      </c>
      <c r="R172">
        <f t="shared" si="16"/>
        <v>1</v>
      </c>
      <c r="S172">
        <f t="shared" si="17"/>
        <v>1.8460410228709589E-2</v>
      </c>
      <c r="T172">
        <f t="shared" si="18"/>
        <v>3.992126827580698</v>
      </c>
    </row>
    <row r="173" spans="1:20" x14ac:dyDescent="0.35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3"/>
        <v>3.6270371202968352</v>
      </c>
      <c r="P173">
        <f t="shared" si="14"/>
        <v>0.97409409877364661</v>
      </c>
      <c r="Q173">
        <f t="shared" si="15"/>
        <v>1</v>
      </c>
      <c r="R173">
        <f t="shared" si="16"/>
        <v>0</v>
      </c>
      <c r="S173">
        <f t="shared" si="17"/>
        <v>0.97409409877364661</v>
      </c>
      <c r="T173">
        <f t="shared" si="18"/>
        <v>2.6247369355549097E-2</v>
      </c>
    </row>
    <row r="174" spans="1:20" x14ac:dyDescent="0.35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3"/>
        <v>-4.6780808782483394</v>
      </c>
      <c r="P174">
        <f t="shared" si="14"/>
        <v>9.2112034713626011E-3</v>
      </c>
      <c r="Q174">
        <f t="shared" si="15"/>
        <v>0</v>
      </c>
      <c r="R174">
        <f t="shared" si="16"/>
        <v>0</v>
      </c>
      <c r="S174">
        <f t="shared" si="17"/>
        <v>0.99078879652863738</v>
      </c>
      <c r="T174">
        <f t="shared" si="18"/>
        <v>9.2538889312288077E-3</v>
      </c>
    </row>
    <row r="175" spans="1:20" x14ac:dyDescent="0.35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3"/>
        <v>3.896423513457334</v>
      </c>
      <c r="P175">
        <f t="shared" si="14"/>
        <v>0.98009002395000977</v>
      </c>
      <c r="Q175">
        <f t="shared" si="15"/>
        <v>1</v>
      </c>
      <c r="R175">
        <f t="shared" si="16"/>
        <v>0</v>
      </c>
      <c r="S175">
        <f t="shared" si="17"/>
        <v>0.98009002395000977</v>
      </c>
      <c r="T175">
        <f t="shared" si="18"/>
        <v>2.0110850363019316E-2</v>
      </c>
    </row>
    <row r="176" spans="1:20" x14ac:dyDescent="0.35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3"/>
        <v>-2.9521471934201369</v>
      </c>
      <c r="P176">
        <f t="shared" si="14"/>
        <v>4.9635127262328202E-2</v>
      </c>
      <c r="Q176">
        <f t="shared" si="15"/>
        <v>0</v>
      </c>
      <c r="R176">
        <f t="shared" si="16"/>
        <v>0</v>
      </c>
      <c r="S176">
        <f t="shared" si="17"/>
        <v>0.95036487273767178</v>
      </c>
      <c r="T176">
        <f t="shared" si="18"/>
        <v>5.0909291560104278E-2</v>
      </c>
    </row>
    <row r="177" spans="1:20" x14ac:dyDescent="0.35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3"/>
        <v>1.3702908045466184</v>
      </c>
      <c r="P177">
        <f t="shared" si="14"/>
        <v>0.79742713335519644</v>
      </c>
      <c r="Q177">
        <f t="shared" si="15"/>
        <v>1</v>
      </c>
      <c r="R177">
        <f t="shared" si="16"/>
        <v>0</v>
      </c>
      <c r="S177">
        <f t="shared" si="17"/>
        <v>0.79742713335519644</v>
      </c>
      <c r="T177">
        <f t="shared" si="18"/>
        <v>0.22636481733113306</v>
      </c>
    </row>
    <row r="178" spans="1:20" x14ac:dyDescent="0.35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3"/>
        <v>-1.1733980281988217</v>
      </c>
      <c r="P178">
        <f t="shared" si="14"/>
        <v>0.23624132401273912</v>
      </c>
      <c r="Q178">
        <f t="shared" si="15"/>
        <v>0</v>
      </c>
      <c r="R178">
        <f t="shared" si="16"/>
        <v>0</v>
      </c>
      <c r="S178">
        <f t="shared" si="17"/>
        <v>0.76375867598726088</v>
      </c>
      <c r="T178">
        <f t="shared" si="18"/>
        <v>0.26950340883939861</v>
      </c>
    </row>
    <row r="179" spans="1:20" x14ac:dyDescent="0.35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3"/>
        <v>5.1869127677216564</v>
      </c>
      <c r="P179">
        <f t="shared" si="14"/>
        <v>0.9944418304434931</v>
      </c>
      <c r="Q179">
        <f t="shared" si="15"/>
        <v>1</v>
      </c>
      <c r="R179">
        <f t="shared" si="16"/>
        <v>0</v>
      </c>
      <c r="S179">
        <f t="shared" si="17"/>
        <v>0.9944418304434931</v>
      </c>
      <c r="T179">
        <f t="shared" si="18"/>
        <v>5.5736736572187789E-3</v>
      </c>
    </row>
    <row r="180" spans="1:20" x14ac:dyDescent="0.35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3"/>
        <v>3.2795794461096914</v>
      </c>
      <c r="P180">
        <f t="shared" si="14"/>
        <v>0.96372158296394728</v>
      </c>
      <c r="Q180">
        <f t="shared" si="15"/>
        <v>1</v>
      </c>
      <c r="R180">
        <f t="shared" si="16"/>
        <v>0</v>
      </c>
      <c r="S180">
        <f t="shared" si="17"/>
        <v>0.96372158296394728</v>
      </c>
      <c r="T180">
        <f t="shared" si="18"/>
        <v>3.6952840439240506E-2</v>
      </c>
    </row>
    <row r="181" spans="1:20" x14ac:dyDescent="0.35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3"/>
        <v>-4.1950401878519203</v>
      </c>
      <c r="P181">
        <f t="shared" si="14"/>
        <v>1.4846399541218707E-2</v>
      </c>
      <c r="Q181">
        <f t="shared" si="15"/>
        <v>0</v>
      </c>
      <c r="R181">
        <f t="shared" si="16"/>
        <v>0</v>
      </c>
      <c r="S181">
        <f t="shared" si="17"/>
        <v>0.98515360045878131</v>
      </c>
      <c r="T181">
        <f t="shared" si="18"/>
        <v>1.4957710415294024E-2</v>
      </c>
    </row>
    <row r="182" spans="1:20" x14ac:dyDescent="0.35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3"/>
        <v>-0.25683935418424753</v>
      </c>
      <c r="P182">
        <f t="shared" si="14"/>
        <v>0.43614082305785068</v>
      </c>
      <c r="Q182">
        <f t="shared" si="15"/>
        <v>0</v>
      </c>
      <c r="R182">
        <f t="shared" si="16"/>
        <v>0</v>
      </c>
      <c r="S182">
        <f t="shared" si="17"/>
        <v>0.56385917694214926</v>
      </c>
      <c r="T182">
        <f t="shared" si="18"/>
        <v>0.57295074493367026</v>
      </c>
    </row>
    <row r="183" spans="1:20" x14ac:dyDescent="0.35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3"/>
        <v>-0.54086572519921461</v>
      </c>
      <c r="P183">
        <f t="shared" si="14"/>
        <v>0.36798621550943722</v>
      </c>
      <c r="Q183">
        <f t="shared" si="15"/>
        <v>0</v>
      </c>
      <c r="R183">
        <f t="shared" si="16"/>
        <v>0</v>
      </c>
      <c r="S183">
        <f t="shared" si="17"/>
        <v>0.63201378449056278</v>
      </c>
      <c r="T183">
        <f t="shared" si="18"/>
        <v>0.45884407417034473</v>
      </c>
    </row>
    <row r="184" spans="1:20" x14ac:dyDescent="0.35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3"/>
        <v>1.5250830788085281</v>
      </c>
      <c r="P184">
        <f t="shared" si="14"/>
        <v>0.82128577059643926</v>
      </c>
      <c r="Q184">
        <f t="shared" si="15"/>
        <v>1</v>
      </c>
      <c r="R184">
        <f t="shared" si="16"/>
        <v>0</v>
      </c>
      <c r="S184">
        <f t="shared" si="17"/>
        <v>0.82128577059643926</v>
      </c>
      <c r="T184">
        <f t="shared" si="18"/>
        <v>0.19688415385005067</v>
      </c>
    </row>
    <row r="185" spans="1:20" x14ac:dyDescent="0.35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3"/>
        <v>0.81957344806658128</v>
      </c>
      <c r="P185">
        <f t="shared" si="14"/>
        <v>0.69414578747077993</v>
      </c>
      <c r="Q185">
        <f t="shared" si="15"/>
        <v>1</v>
      </c>
      <c r="R185">
        <f t="shared" si="16"/>
        <v>0</v>
      </c>
      <c r="S185">
        <f t="shared" si="17"/>
        <v>0.69414578747077993</v>
      </c>
      <c r="T185">
        <f t="shared" si="18"/>
        <v>0.36507327213490953</v>
      </c>
    </row>
    <row r="186" spans="1:20" x14ac:dyDescent="0.35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3"/>
        <v>6.3478907161315252</v>
      </c>
      <c r="P186">
        <f t="shared" si="14"/>
        <v>0.99825262325986208</v>
      </c>
      <c r="Q186">
        <f t="shared" si="15"/>
        <v>1</v>
      </c>
      <c r="R186">
        <f t="shared" si="16"/>
        <v>0</v>
      </c>
      <c r="S186">
        <f t="shared" si="17"/>
        <v>0.99825262325986208</v>
      </c>
      <c r="T186">
        <f t="shared" si="18"/>
        <v>1.7489051836445042E-3</v>
      </c>
    </row>
    <row r="187" spans="1:20" x14ac:dyDescent="0.35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3"/>
        <v>-3.1511011570371643</v>
      </c>
      <c r="P187">
        <f t="shared" si="14"/>
        <v>4.1047911465335304E-2</v>
      </c>
      <c r="Q187">
        <f t="shared" si="15"/>
        <v>0</v>
      </c>
      <c r="R187">
        <f t="shared" si="16"/>
        <v>0</v>
      </c>
      <c r="S187">
        <f t="shared" si="17"/>
        <v>0.95895208853466474</v>
      </c>
      <c r="T187">
        <f t="shared" si="18"/>
        <v>4.1914165164599948E-2</v>
      </c>
    </row>
    <row r="188" spans="1:20" x14ac:dyDescent="0.35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3"/>
        <v>-1.3805143478218058</v>
      </c>
      <c r="P188">
        <f t="shared" si="14"/>
        <v>0.20092640594013414</v>
      </c>
      <c r="Q188">
        <f t="shared" si="15"/>
        <v>0</v>
      </c>
      <c r="R188">
        <f t="shared" si="16"/>
        <v>0</v>
      </c>
      <c r="S188">
        <f t="shared" si="17"/>
        <v>0.79907359405986589</v>
      </c>
      <c r="T188">
        <f t="shared" si="18"/>
        <v>0.22430222974804781</v>
      </c>
    </row>
    <row r="189" spans="1:20" x14ac:dyDescent="0.35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3"/>
        <v>-0.71556042228913519</v>
      </c>
      <c r="P189">
        <f t="shared" si="14"/>
        <v>0.32837135633448811</v>
      </c>
      <c r="Q189">
        <f t="shared" si="15"/>
        <v>0</v>
      </c>
      <c r="R189">
        <f t="shared" si="16"/>
        <v>0</v>
      </c>
      <c r="S189">
        <f t="shared" si="17"/>
        <v>0.67162864366551189</v>
      </c>
      <c r="T189">
        <f t="shared" si="18"/>
        <v>0.39804970479914337</v>
      </c>
    </row>
    <row r="190" spans="1:20" x14ac:dyDescent="0.35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3"/>
        <v>3.7229762656427621</v>
      </c>
      <c r="P190">
        <f t="shared" si="14"/>
        <v>0.97640807844254407</v>
      </c>
      <c r="Q190">
        <f t="shared" si="15"/>
        <v>1</v>
      </c>
      <c r="R190">
        <f t="shared" si="16"/>
        <v>0</v>
      </c>
      <c r="S190">
        <f t="shared" si="17"/>
        <v>0.97640807844254407</v>
      </c>
      <c r="T190">
        <f t="shared" si="18"/>
        <v>2.3874666795649806E-2</v>
      </c>
    </row>
    <row r="191" spans="1:20" x14ac:dyDescent="0.35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3"/>
        <v>-3.854038035707708</v>
      </c>
      <c r="P191">
        <f t="shared" si="14"/>
        <v>2.0754118950166649E-2</v>
      </c>
      <c r="Q191">
        <f t="shared" si="15"/>
        <v>0</v>
      </c>
      <c r="R191">
        <f t="shared" si="16"/>
        <v>0</v>
      </c>
      <c r="S191">
        <f t="shared" si="17"/>
        <v>0.97924588104983334</v>
      </c>
      <c r="T191">
        <f t="shared" si="18"/>
        <v>2.0972512674469847E-2</v>
      </c>
    </row>
    <row r="192" spans="1:20" x14ac:dyDescent="0.35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3"/>
        <v>3.0585759565021853</v>
      </c>
      <c r="P192">
        <f t="shared" si="14"/>
        <v>0.95515133434813582</v>
      </c>
      <c r="Q192">
        <f t="shared" si="15"/>
        <v>1</v>
      </c>
      <c r="R192">
        <f t="shared" si="16"/>
        <v>0</v>
      </c>
      <c r="S192">
        <f t="shared" si="17"/>
        <v>0.95515133434813582</v>
      </c>
      <c r="T192">
        <f t="shared" si="18"/>
        <v>4.5885485769697885E-2</v>
      </c>
    </row>
    <row r="193" spans="1:20" x14ac:dyDescent="0.35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3"/>
        <v>-0.80178676521284942</v>
      </c>
      <c r="P193">
        <f t="shared" si="14"/>
        <v>0.30964344226160928</v>
      </c>
      <c r="Q193">
        <f t="shared" si="15"/>
        <v>0</v>
      </c>
      <c r="R193">
        <f t="shared" si="16"/>
        <v>0</v>
      </c>
      <c r="S193">
        <f t="shared" si="17"/>
        <v>0.69035655773839077</v>
      </c>
      <c r="T193">
        <f t="shared" si="18"/>
        <v>0.37054706451481961</v>
      </c>
    </row>
    <row r="194" spans="1:20" x14ac:dyDescent="0.35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3"/>
        <v>1.0429083376628014</v>
      </c>
      <c r="P194">
        <f t="shared" si="14"/>
        <v>0.73941078185644138</v>
      </c>
      <c r="Q194">
        <f t="shared" si="15"/>
        <v>1</v>
      </c>
      <c r="R194">
        <f t="shared" si="16"/>
        <v>1</v>
      </c>
      <c r="S194">
        <f t="shared" si="17"/>
        <v>0.26058921814355862</v>
      </c>
      <c r="T194">
        <f t="shared" si="18"/>
        <v>1.3448099883492874</v>
      </c>
    </row>
    <row r="195" spans="1:20" x14ac:dyDescent="0.35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3"/>
        <v>-3.0619215593056639</v>
      </c>
      <c r="P195">
        <f t="shared" si="14"/>
        <v>4.4705567222616913E-2</v>
      </c>
      <c r="Q195">
        <f t="shared" si="15"/>
        <v>0</v>
      </c>
      <c r="R195">
        <f t="shared" si="16"/>
        <v>0</v>
      </c>
      <c r="S195">
        <f t="shared" si="17"/>
        <v>0.95529443277738313</v>
      </c>
      <c r="T195">
        <f t="shared" si="18"/>
        <v>4.5735679444936062E-2</v>
      </c>
    </row>
    <row r="196" spans="1:20" x14ac:dyDescent="0.35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3"/>
        <v>-0.70942034444218471</v>
      </c>
      <c r="P196">
        <f t="shared" si="14"/>
        <v>0.32972693552884608</v>
      </c>
      <c r="Q196">
        <f t="shared" si="15"/>
        <v>0</v>
      </c>
      <c r="R196">
        <f t="shared" si="16"/>
        <v>0</v>
      </c>
      <c r="S196">
        <f t="shared" si="17"/>
        <v>0.67027306447115387</v>
      </c>
      <c r="T196">
        <f t="shared" si="18"/>
        <v>0.40007009071452992</v>
      </c>
    </row>
    <row r="197" spans="1:20" x14ac:dyDescent="0.35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3"/>
        <v>-4.2064179490768563</v>
      </c>
      <c r="P197">
        <f t="shared" si="14"/>
        <v>1.4680903902953778E-2</v>
      </c>
      <c r="Q197">
        <f t="shared" si="15"/>
        <v>0</v>
      </c>
      <c r="R197">
        <f t="shared" si="16"/>
        <v>0</v>
      </c>
      <c r="S197">
        <f t="shared" si="17"/>
        <v>0.98531909609704627</v>
      </c>
      <c r="T197">
        <f t="shared" si="18"/>
        <v>1.4789734843804647E-2</v>
      </c>
    </row>
    <row r="198" spans="1:20" x14ac:dyDescent="0.35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si="13"/>
        <v>-4.0981617044765457</v>
      </c>
      <c r="P198">
        <f t="shared" si="14"/>
        <v>1.6332005844749666E-2</v>
      </c>
      <c r="Q198">
        <f t="shared" si="15"/>
        <v>0</v>
      </c>
      <c r="R198">
        <f t="shared" si="16"/>
        <v>0</v>
      </c>
      <c r="S198">
        <f t="shared" si="17"/>
        <v>0.9836679941552503</v>
      </c>
      <c r="T198">
        <f t="shared" si="18"/>
        <v>1.6466843177295919E-2</v>
      </c>
    </row>
    <row r="199" spans="1:20" x14ac:dyDescent="0.35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ref="O199:O224" si="19">SUMPRODUCT(A$4:M$4,A199:M199)+N$4</f>
        <v>-5.2615129574558228</v>
      </c>
      <c r="P199">
        <f t="shared" ref="P199:P262" si="20">1/(1+EXP(0-O199))</f>
        <v>5.1606796173516885E-3</v>
      </c>
      <c r="Q199">
        <f t="shared" ref="Q199:Q262" si="21">IF(P199&lt;=0.5, 0, 1)</f>
        <v>0</v>
      </c>
      <c r="R199">
        <f t="shared" ref="R199:R219" si="22">IF(N199=Q199, 0, 1)</f>
        <v>0</v>
      </c>
      <c r="S199">
        <f t="shared" ref="S199:S219" si="23">IF(N199=1, P199, 1-P199)</f>
        <v>0.99483932038264833</v>
      </c>
      <c r="T199">
        <f t="shared" ref="T199:T219" si="24">IF(S199=0, 100000, -LN(S199))</f>
        <v>5.1740419165970351E-3</v>
      </c>
    </row>
    <row r="200" spans="1:20" x14ac:dyDescent="0.35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19"/>
        <v>0.92820187424977263</v>
      </c>
      <c r="P200">
        <f t="shared" si="20"/>
        <v>0.71671034241143305</v>
      </c>
      <c r="Q200">
        <f t="shared" si="21"/>
        <v>1</v>
      </c>
      <c r="R200">
        <f t="shared" si="22"/>
        <v>0</v>
      </c>
      <c r="S200">
        <f t="shared" si="23"/>
        <v>0.71671034241143305</v>
      </c>
      <c r="T200">
        <f t="shared" si="24"/>
        <v>0.33308350548580729</v>
      </c>
    </row>
    <row r="201" spans="1:20" x14ac:dyDescent="0.35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19"/>
        <v>-5.3842566193702632</v>
      </c>
      <c r="P201">
        <f t="shared" si="20"/>
        <v>4.5672939848295764E-3</v>
      </c>
      <c r="Q201">
        <f t="shared" si="21"/>
        <v>0</v>
      </c>
      <c r="R201">
        <f t="shared" si="22"/>
        <v>0</v>
      </c>
      <c r="S201">
        <f t="shared" si="23"/>
        <v>0.99543270601517042</v>
      </c>
      <c r="T201">
        <f t="shared" si="24"/>
        <v>4.5777559393701695E-3</v>
      </c>
    </row>
    <row r="202" spans="1:20" x14ac:dyDescent="0.35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19"/>
        <v>-1.6412187635973838</v>
      </c>
      <c r="P202">
        <f t="shared" si="20"/>
        <v>0.16229929342951194</v>
      </c>
      <c r="Q202">
        <f t="shared" si="21"/>
        <v>0</v>
      </c>
      <c r="R202">
        <f t="shared" si="22"/>
        <v>0</v>
      </c>
      <c r="S202">
        <f t="shared" si="23"/>
        <v>0.83770070657048801</v>
      </c>
      <c r="T202">
        <f t="shared" si="24"/>
        <v>0.17709439435789906</v>
      </c>
    </row>
    <row r="203" spans="1:20" x14ac:dyDescent="0.35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-3.8199474659449377</v>
      </c>
      <c r="P203">
        <f t="shared" si="20"/>
        <v>2.1458392796292164E-2</v>
      </c>
      <c r="Q203">
        <f t="shared" si="21"/>
        <v>0</v>
      </c>
      <c r="R203">
        <f t="shared" si="22"/>
        <v>0</v>
      </c>
      <c r="S203">
        <f t="shared" si="23"/>
        <v>0.97854160720370786</v>
      </c>
      <c r="T203">
        <f t="shared" si="24"/>
        <v>2.1691971635904576E-2</v>
      </c>
    </row>
    <row r="204" spans="1:20" x14ac:dyDescent="0.35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-4.0763034545851875</v>
      </c>
      <c r="P204">
        <f t="shared" si="20"/>
        <v>1.6686902447152693E-2</v>
      </c>
      <c r="Q204">
        <f t="shared" si="21"/>
        <v>0</v>
      </c>
      <c r="R204">
        <f t="shared" si="22"/>
        <v>0</v>
      </c>
      <c r="S204">
        <f t="shared" si="23"/>
        <v>0.98331309755284735</v>
      </c>
      <c r="T204">
        <f t="shared" si="24"/>
        <v>1.6827697287943071E-2</v>
      </c>
    </row>
    <row r="205" spans="1:20" x14ac:dyDescent="0.35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19"/>
        <v>3.3870387768685006E-2</v>
      </c>
      <c r="P205">
        <f t="shared" si="20"/>
        <v>0.50846678753052432</v>
      </c>
      <c r="Q205">
        <f t="shared" si="21"/>
        <v>1</v>
      </c>
      <c r="R205">
        <f t="shared" si="22"/>
        <v>0</v>
      </c>
      <c r="S205">
        <f t="shared" si="23"/>
        <v>0.50846678753052432</v>
      </c>
      <c r="T205">
        <f t="shared" si="24"/>
        <v>0.67635538021751918</v>
      </c>
    </row>
    <row r="206" spans="1:20" x14ac:dyDescent="0.35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19"/>
        <v>3.221183830263735</v>
      </c>
      <c r="P206">
        <f t="shared" si="20"/>
        <v>0.96162372590329959</v>
      </c>
      <c r="Q206">
        <f t="shared" si="21"/>
        <v>1</v>
      </c>
      <c r="R206">
        <f t="shared" si="22"/>
        <v>1</v>
      </c>
      <c r="S206">
        <f t="shared" si="23"/>
        <v>3.8376274096700413E-2</v>
      </c>
      <c r="T206">
        <f t="shared" si="24"/>
        <v>3.2603158724089751</v>
      </c>
    </row>
    <row r="207" spans="1:20" x14ac:dyDescent="0.35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19"/>
        <v>-3.4826696094239793</v>
      </c>
      <c r="P207">
        <f t="shared" si="20"/>
        <v>2.9809375637209236E-2</v>
      </c>
      <c r="Q207">
        <f t="shared" si="21"/>
        <v>0</v>
      </c>
      <c r="R207">
        <f t="shared" si="22"/>
        <v>0</v>
      </c>
      <c r="S207">
        <f t="shared" si="23"/>
        <v>0.9701906243627908</v>
      </c>
      <c r="T207">
        <f t="shared" si="24"/>
        <v>3.0262706830586707E-2</v>
      </c>
    </row>
    <row r="208" spans="1:20" x14ac:dyDescent="0.35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19"/>
        <v>-1.3558728250044787</v>
      </c>
      <c r="P208">
        <f t="shared" si="20"/>
        <v>0.20491189518576652</v>
      </c>
      <c r="Q208">
        <f t="shared" si="21"/>
        <v>0</v>
      </c>
      <c r="R208">
        <f t="shared" si="22"/>
        <v>1</v>
      </c>
      <c r="S208">
        <f t="shared" si="23"/>
        <v>0.20491189518576652</v>
      </c>
      <c r="T208">
        <f t="shared" si="24"/>
        <v>1.5851751718070701</v>
      </c>
    </row>
    <row r="209" spans="1:20" x14ac:dyDescent="0.35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19"/>
        <v>-4.9577045571467622</v>
      </c>
      <c r="P209">
        <f t="shared" si="20"/>
        <v>6.9799814998028759E-3</v>
      </c>
      <c r="Q209">
        <f t="shared" si="21"/>
        <v>0</v>
      </c>
      <c r="R209">
        <f t="shared" si="22"/>
        <v>0</v>
      </c>
      <c r="S209">
        <f t="shared" si="23"/>
        <v>0.99302001850019717</v>
      </c>
      <c r="T209">
        <f t="shared" si="24"/>
        <v>7.0044555226470139E-3</v>
      </c>
    </row>
    <row r="210" spans="1:20" x14ac:dyDescent="0.35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19"/>
        <v>2.077036152971294</v>
      </c>
      <c r="P210">
        <f t="shared" si="20"/>
        <v>0.88865109731125336</v>
      </c>
      <c r="Q210">
        <f t="shared" si="21"/>
        <v>1</v>
      </c>
      <c r="R210">
        <f t="shared" si="22"/>
        <v>0</v>
      </c>
      <c r="S210">
        <f t="shared" si="23"/>
        <v>0.88865109731125336</v>
      </c>
      <c r="T210">
        <f t="shared" si="24"/>
        <v>0.11805058696988427</v>
      </c>
    </row>
    <row r="211" spans="1:20" x14ac:dyDescent="0.35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19"/>
        <v>2.8012937738513113</v>
      </c>
      <c r="P211">
        <f t="shared" si="20"/>
        <v>0.94274569717335677</v>
      </c>
      <c r="Q211">
        <f t="shared" si="21"/>
        <v>1</v>
      </c>
      <c r="R211">
        <f t="shared" si="22"/>
        <v>0</v>
      </c>
      <c r="S211">
        <f t="shared" si="23"/>
        <v>0.94274569717335677</v>
      </c>
      <c r="T211">
        <f t="shared" si="24"/>
        <v>5.8958706976752047E-2</v>
      </c>
    </row>
    <row r="212" spans="1:20" x14ac:dyDescent="0.35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19"/>
        <v>1.0667258729276465</v>
      </c>
      <c r="P212">
        <f t="shared" si="20"/>
        <v>0.74397376890679334</v>
      </c>
      <c r="Q212">
        <f t="shared" si="21"/>
        <v>1</v>
      </c>
      <c r="R212">
        <f t="shared" si="22"/>
        <v>1</v>
      </c>
      <c r="S212">
        <f t="shared" si="23"/>
        <v>0.25602623109320666</v>
      </c>
      <c r="T212">
        <f t="shared" si="24"/>
        <v>1.3624753745439369</v>
      </c>
    </row>
    <row r="213" spans="1:20" x14ac:dyDescent="0.35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19"/>
        <v>-0.45171516891486441</v>
      </c>
      <c r="P213">
        <f t="shared" si="20"/>
        <v>0.38895304674430442</v>
      </c>
      <c r="Q213">
        <f t="shared" si="21"/>
        <v>0</v>
      </c>
      <c r="R213">
        <f t="shared" si="22"/>
        <v>0</v>
      </c>
      <c r="S213">
        <f t="shared" si="23"/>
        <v>0.61104695325569558</v>
      </c>
      <c r="T213">
        <f t="shared" si="24"/>
        <v>0.4925814761907551</v>
      </c>
    </row>
    <row r="214" spans="1:20" x14ac:dyDescent="0.35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19"/>
        <v>-1.5281950174537764</v>
      </c>
      <c r="P214">
        <f t="shared" si="20"/>
        <v>0.1782579297837493</v>
      </c>
      <c r="Q214">
        <f t="shared" si="21"/>
        <v>0</v>
      </c>
      <c r="R214">
        <f t="shared" si="22"/>
        <v>0</v>
      </c>
      <c r="S214">
        <f t="shared" si="23"/>
        <v>0.82174207021625068</v>
      </c>
      <c r="T214">
        <f t="shared" si="24"/>
        <v>0.19632871635811283</v>
      </c>
    </row>
    <row r="215" spans="1:20" x14ac:dyDescent="0.35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19"/>
        <v>2.7571344664533672</v>
      </c>
      <c r="P215">
        <f t="shared" si="20"/>
        <v>0.94031501534893636</v>
      </c>
      <c r="Q215">
        <f t="shared" si="21"/>
        <v>1</v>
      </c>
      <c r="R215">
        <f t="shared" si="22"/>
        <v>0</v>
      </c>
      <c r="S215">
        <f t="shared" si="23"/>
        <v>0.94031501534893636</v>
      </c>
      <c r="T215">
        <f t="shared" si="24"/>
        <v>6.1540337147526561E-2</v>
      </c>
    </row>
    <row r="216" spans="1:20" x14ac:dyDescent="0.35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19"/>
        <v>2.3907408422469292</v>
      </c>
      <c r="P216">
        <f t="shared" si="20"/>
        <v>0.91611851596010452</v>
      </c>
      <c r="Q216">
        <f t="shared" si="21"/>
        <v>1</v>
      </c>
      <c r="R216">
        <f t="shared" si="22"/>
        <v>0</v>
      </c>
      <c r="S216">
        <f t="shared" si="23"/>
        <v>0.91611851596010452</v>
      </c>
      <c r="T216">
        <f t="shared" si="24"/>
        <v>8.7609538441503168E-2</v>
      </c>
    </row>
    <row r="217" spans="1:20" x14ac:dyDescent="0.35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19"/>
        <v>0.50226723968578924</v>
      </c>
      <c r="P217">
        <f t="shared" si="20"/>
        <v>0.62299199282563933</v>
      </c>
      <c r="Q217">
        <f t="shared" si="21"/>
        <v>1</v>
      </c>
      <c r="R217">
        <f t="shared" si="22"/>
        <v>0</v>
      </c>
      <c r="S217">
        <f t="shared" si="23"/>
        <v>0.62299199282563933</v>
      </c>
      <c r="T217">
        <f t="shared" si="24"/>
        <v>0.47322161288459985</v>
      </c>
    </row>
    <row r="218" spans="1:20" x14ac:dyDescent="0.35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19"/>
        <v>-1.2797277976502546</v>
      </c>
      <c r="P218">
        <f t="shared" si="20"/>
        <v>0.2175965620013379</v>
      </c>
      <c r="Q218">
        <f t="shared" si="21"/>
        <v>0</v>
      </c>
      <c r="R218">
        <f t="shared" si="22"/>
        <v>1</v>
      </c>
      <c r="S218">
        <f t="shared" si="23"/>
        <v>0.2175965620013379</v>
      </c>
      <c r="T218">
        <f t="shared" si="24"/>
        <v>1.5251125637513694</v>
      </c>
    </row>
    <row r="219" spans="1:20" x14ac:dyDescent="0.35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-4.5688949626015267</v>
      </c>
      <c r="P219">
        <f t="shared" si="20"/>
        <v>1.0262990797204274E-2</v>
      </c>
      <c r="Q219">
        <f t="shared" si="21"/>
        <v>0</v>
      </c>
      <c r="R219">
        <f t="shared" si="22"/>
        <v>0</v>
      </c>
      <c r="S219">
        <f t="shared" si="23"/>
        <v>0.98973700920279573</v>
      </c>
      <c r="T219">
        <f t="shared" si="24"/>
        <v>1.0316018413890772E-2</v>
      </c>
    </row>
    <row r="220" spans="1:20" x14ac:dyDescent="0.35">
      <c r="O220">
        <f t="shared" si="19"/>
        <v>-8.7246666220726343</v>
      </c>
      <c r="P220">
        <f t="shared" si="20"/>
        <v>1.6250055580967676E-4</v>
      </c>
      <c r="Q220">
        <f t="shared" si="21"/>
        <v>0</v>
      </c>
      <c r="R220">
        <f t="shared" ref="R220:R224" si="25">IF(N220=Q220, 0, 1)</f>
        <v>0</v>
      </c>
    </row>
    <row r="221" spans="1:20" x14ac:dyDescent="0.35">
      <c r="O221">
        <f t="shared" si="19"/>
        <v>-8.7246666220726343</v>
      </c>
      <c r="P221">
        <f t="shared" si="20"/>
        <v>1.6250055580967676E-4</v>
      </c>
      <c r="Q221">
        <f t="shared" si="21"/>
        <v>0</v>
      </c>
      <c r="R221">
        <f t="shared" si="25"/>
        <v>0</v>
      </c>
    </row>
    <row r="222" spans="1:20" x14ac:dyDescent="0.35">
      <c r="O222">
        <f t="shared" si="19"/>
        <v>-8.7246666220726343</v>
      </c>
      <c r="P222">
        <f t="shared" si="20"/>
        <v>1.6250055580967676E-4</v>
      </c>
      <c r="Q222">
        <f t="shared" si="21"/>
        <v>0</v>
      </c>
      <c r="R222">
        <f t="shared" si="25"/>
        <v>0</v>
      </c>
    </row>
    <row r="223" spans="1:20" x14ac:dyDescent="0.35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  <c r="O223" t="s">
        <v>28</v>
      </c>
      <c r="P223" t="s">
        <v>29</v>
      </c>
      <c r="Q223" t="s">
        <v>32</v>
      </c>
      <c r="R223" t="s">
        <v>33</v>
      </c>
    </row>
    <row r="224" spans="1:20" x14ac:dyDescent="0.35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 t="shared" si="19"/>
        <v>-0.88894512926523994</v>
      </c>
      <c r="P224">
        <f t="shared" si="20"/>
        <v>0.29132756368160229</v>
      </c>
      <c r="Q224">
        <f t="shared" si="21"/>
        <v>0</v>
      </c>
      <c r="R224">
        <f t="shared" si="25"/>
        <v>0</v>
      </c>
    </row>
    <row r="225" spans="1:18" x14ac:dyDescent="0.35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ref="O225:O288" si="26">SUMPRODUCT(A$4:M$4,A225:M225)+N$4</f>
        <v>4.7810549341876918</v>
      </c>
      <c r="P225">
        <f t="shared" si="20"/>
        <v>0.99168261273337166</v>
      </c>
      <c r="Q225">
        <f t="shared" si="21"/>
        <v>1</v>
      </c>
      <c r="R225">
        <f t="shared" ref="R225:R288" si="27">IF(N225=Q225, 0, 1)</f>
        <v>0</v>
      </c>
    </row>
    <row r="226" spans="1:18" x14ac:dyDescent="0.35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6"/>
        <v>-0.74702144976007823</v>
      </c>
      <c r="P226">
        <f t="shared" si="20"/>
        <v>0.32147065808774383</v>
      </c>
      <c r="Q226">
        <f t="shared" si="21"/>
        <v>0</v>
      </c>
      <c r="R226">
        <f t="shared" si="27"/>
        <v>0</v>
      </c>
    </row>
    <row r="227" spans="1:18" x14ac:dyDescent="0.35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6"/>
        <v>-4.0479532046740223</v>
      </c>
      <c r="P227">
        <f t="shared" si="20"/>
        <v>1.7158516589580546E-2</v>
      </c>
      <c r="Q227">
        <f t="shared" si="21"/>
        <v>0</v>
      </c>
      <c r="R227">
        <f t="shared" si="27"/>
        <v>0</v>
      </c>
    </row>
    <row r="228" spans="1:18" x14ac:dyDescent="0.35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6"/>
        <v>2.6064603159382607</v>
      </c>
      <c r="P228">
        <f t="shared" si="20"/>
        <v>0.93127619906661552</v>
      </c>
      <c r="Q228">
        <f t="shared" si="21"/>
        <v>1</v>
      </c>
      <c r="R228">
        <f t="shared" si="27"/>
        <v>0</v>
      </c>
    </row>
    <row r="229" spans="1:18" x14ac:dyDescent="0.35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6"/>
        <v>0.19702291825969276</v>
      </c>
      <c r="P229">
        <f t="shared" si="20"/>
        <v>0.54909701144862355</v>
      </c>
      <c r="Q229">
        <f t="shared" si="21"/>
        <v>1</v>
      </c>
      <c r="R229">
        <f t="shared" si="27"/>
        <v>1</v>
      </c>
    </row>
    <row r="230" spans="1:18" x14ac:dyDescent="0.35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6"/>
        <v>1.510164441640848</v>
      </c>
      <c r="P230">
        <f t="shared" si="20"/>
        <v>0.81908557581157859</v>
      </c>
      <c r="Q230">
        <f t="shared" si="21"/>
        <v>1</v>
      </c>
      <c r="R230">
        <f t="shared" si="27"/>
        <v>0</v>
      </c>
    </row>
    <row r="231" spans="1:18" x14ac:dyDescent="0.35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6"/>
        <v>-0.89930065674224124</v>
      </c>
      <c r="P231">
        <f t="shared" si="20"/>
        <v>0.28919423382842518</v>
      </c>
      <c r="Q231">
        <f t="shared" si="21"/>
        <v>0</v>
      </c>
      <c r="R231">
        <f t="shared" si="27"/>
        <v>0</v>
      </c>
    </row>
    <row r="232" spans="1:18" x14ac:dyDescent="0.35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6"/>
        <v>-1.3301307312800832</v>
      </c>
      <c r="P232">
        <f t="shared" si="20"/>
        <v>0.20913774154869788</v>
      </c>
      <c r="Q232">
        <f t="shared" si="21"/>
        <v>0</v>
      </c>
      <c r="R232">
        <f t="shared" si="27"/>
        <v>1</v>
      </c>
    </row>
    <row r="233" spans="1:18" x14ac:dyDescent="0.35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6"/>
        <v>5.0033743950034602</v>
      </c>
      <c r="P233">
        <f t="shared" si="20"/>
        <v>0.99332954494322057</v>
      </c>
      <c r="Q233">
        <f t="shared" si="21"/>
        <v>1</v>
      </c>
      <c r="R233">
        <f t="shared" si="27"/>
        <v>0</v>
      </c>
    </row>
    <row r="234" spans="1:18" x14ac:dyDescent="0.35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6"/>
        <v>-2.8681350650930932</v>
      </c>
      <c r="P234">
        <f t="shared" si="20"/>
        <v>5.3751427819224248E-2</v>
      </c>
      <c r="Q234">
        <f t="shared" si="21"/>
        <v>0</v>
      </c>
      <c r="R234">
        <f t="shared" si="27"/>
        <v>0</v>
      </c>
    </row>
    <row r="235" spans="1:18" x14ac:dyDescent="0.35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6"/>
        <v>-1.2024373699185382</v>
      </c>
      <c r="P235">
        <f t="shared" si="20"/>
        <v>0.23104190575657321</v>
      </c>
      <c r="Q235">
        <f t="shared" si="21"/>
        <v>0</v>
      </c>
      <c r="R235">
        <f t="shared" si="27"/>
        <v>0</v>
      </c>
    </row>
    <row r="236" spans="1:18" x14ac:dyDescent="0.35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6"/>
        <v>-1.9341174625493522</v>
      </c>
      <c r="P236">
        <f t="shared" si="20"/>
        <v>0.12629553928090184</v>
      </c>
      <c r="Q236">
        <f t="shared" si="21"/>
        <v>0</v>
      </c>
      <c r="R236">
        <f t="shared" si="27"/>
        <v>0</v>
      </c>
    </row>
    <row r="237" spans="1:18" x14ac:dyDescent="0.35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6"/>
        <v>2.277331981059918</v>
      </c>
      <c r="P237">
        <f t="shared" si="20"/>
        <v>0.90698220244353334</v>
      </c>
      <c r="Q237">
        <f t="shared" si="21"/>
        <v>1</v>
      </c>
      <c r="R237">
        <f t="shared" si="27"/>
        <v>0</v>
      </c>
    </row>
    <row r="238" spans="1:18" x14ac:dyDescent="0.35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6"/>
        <v>-2.4829681930801479</v>
      </c>
      <c r="P238">
        <f t="shared" si="20"/>
        <v>7.706083175133667E-2</v>
      </c>
      <c r="Q238">
        <f t="shared" si="21"/>
        <v>0</v>
      </c>
      <c r="R238">
        <f t="shared" si="27"/>
        <v>0</v>
      </c>
    </row>
    <row r="239" spans="1:18" x14ac:dyDescent="0.35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6"/>
        <v>0.88631666718850255</v>
      </c>
      <c r="P239">
        <f t="shared" si="20"/>
        <v>0.70812947754638744</v>
      </c>
      <c r="Q239">
        <f t="shared" si="21"/>
        <v>1</v>
      </c>
      <c r="R239">
        <f t="shared" si="27"/>
        <v>0</v>
      </c>
    </row>
    <row r="240" spans="1:18" x14ac:dyDescent="0.35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6"/>
        <v>-0.863892466112409</v>
      </c>
      <c r="P240">
        <f t="shared" si="20"/>
        <v>0.2965267399792666</v>
      </c>
      <c r="Q240">
        <f t="shared" si="21"/>
        <v>0</v>
      </c>
      <c r="R240">
        <f t="shared" si="27"/>
        <v>0</v>
      </c>
    </row>
    <row r="241" spans="1:18" x14ac:dyDescent="0.35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6"/>
        <v>-0.36192006755060113</v>
      </c>
      <c r="P241">
        <f t="shared" si="20"/>
        <v>0.41049485132319902</v>
      </c>
      <c r="Q241">
        <f t="shared" si="21"/>
        <v>0</v>
      </c>
      <c r="R241">
        <f t="shared" si="27"/>
        <v>1</v>
      </c>
    </row>
    <row r="242" spans="1:18" x14ac:dyDescent="0.35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6"/>
        <v>-1.089507240209608</v>
      </c>
      <c r="P242">
        <f t="shared" si="20"/>
        <v>0.25171107963074357</v>
      </c>
      <c r="Q242">
        <f t="shared" si="21"/>
        <v>0</v>
      </c>
      <c r="R242">
        <f t="shared" si="27"/>
        <v>0</v>
      </c>
    </row>
    <row r="243" spans="1:18" x14ac:dyDescent="0.35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6"/>
        <v>-0.2666629836366603</v>
      </c>
      <c r="P243">
        <f t="shared" si="20"/>
        <v>0.43372651038532772</v>
      </c>
      <c r="Q243">
        <f t="shared" si="21"/>
        <v>0</v>
      </c>
      <c r="R243">
        <f t="shared" si="27"/>
        <v>0</v>
      </c>
    </row>
    <row r="244" spans="1:18" x14ac:dyDescent="0.35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6"/>
        <v>-4.2128532796832845</v>
      </c>
      <c r="P244">
        <f t="shared" si="20"/>
        <v>1.4588104582779567E-2</v>
      </c>
      <c r="Q244">
        <f t="shared" si="21"/>
        <v>0</v>
      </c>
      <c r="R244">
        <f t="shared" si="27"/>
        <v>0</v>
      </c>
    </row>
    <row r="245" spans="1:18" x14ac:dyDescent="0.35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6"/>
        <v>4.9012263181931672</v>
      </c>
      <c r="P245">
        <f t="shared" si="20"/>
        <v>0.99261745060447681</v>
      </c>
      <c r="Q245">
        <f t="shared" si="21"/>
        <v>1</v>
      </c>
      <c r="R245">
        <f t="shared" si="27"/>
        <v>0</v>
      </c>
    </row>
    <row r="246" spans="1:18" x14ac:dyDescent="0.35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6"/>
        <v>-1.1573485362445748</v>
      </c>
      <c r="P246">
        <f t="shared" si="20"/>
        <v>0.23914940372564575</v>
      </c>
      <c r="Q246">
        <f t="shared" si="21"/>
        <v>0</v>
      </c>
      <c r="R246">
        <f t="shared" si="27"/>
        <v>1</v>
      </c>
    </row>
    <row r="247" spans="1:18" x14ac:dyDescent="0.35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6"/>
        <v>-1.8656900368214622</v>
      </c>
      <c r="P247">
        <f t="shared" si="20"/>
        <v>0.13404120930578084</v>
      </c>
      <c r="Q247">
        <f t="shared" si="21"/>
        <v>0</v>
      </c>
      <c r="R247">
        <f t="shared" si="27"/>
        <v>0</v>
      </c>
    </row>
    <row r="248" spans="1:18" x14ac:dyDescent="0.35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6"/>
        <v>1.9236023766297201</v>
      </c>
      <c r="P248">
        <f t="shared" si="20"/>
        <v>0.87253960721605561</v>
      </c>
      <c r="Q248">
        <f t="shared" si="21"/>
        <v>1</v>
      </c>
      <c r="R248">
        <f t="shared" si="27"/>
        <v>0</v>
      </c>
    </row>
    <row r="249" spans="1:18" x14ac:dyDescent="0.35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6"/>
        <v>-2.2595207784620142</v>
      </c>
      <c r="P249">
        <f t="shared" si="20"/>
        <v>9.4531380043077956E-2</v>
      </c>
      <c r="Q249">
        <f t="shared" si="21"/>
        <v>0</v>
      </c>
      <c r="R249">
        <f t="shared" si="27"/>
        <v>0</v>
      </c>
    </row>
    <row r="250" spans="1:18" x14ac:dyDescent="0.35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6"/>
        <v>-3.505768263439907</v>
      </c>
      <c r="P250">
        <f t="shared" si="20"/>
        <v>2.9148551066497164E-2</v>
      </c>
      <c r="Q250">
        <f t="shared" si="21"/>
        <v>0</v>
      </c>
      <c r="R250">
        <f t="shared" si="27"/>
        <v>0</v>
      </c>
    </row>
    <row r="251" spans="1:18" x14ac:dyDescent="0.35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6"/>
        <v>-2.364008857071739</v>
      </c>
      <c r="P251">
        <f t="shared" si="20"/>
        <v>8.5958696150896588E-2</v>
      </c>
      <c r="Q251">
        <f t="shared" si="21"/>
        <v>0</v>
      </c>
      <c r="R251">
        <f t="shared" si="27"/>
        <v>0</v>
      </c>
    </row>
    <row r="252" spans="1:18" x14ac:dyDescent="0.35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6"/>
        <v>-2.4324765405470865</v>
      </c>
      <c r="P252">
        <f t="shared" si="20"/>
        <v>8.0729486661910321E-2</v>
      </c>
      <c r="Q252">
        <f t="shared" si="21"/>
        <v>0</v>
      </c>
      <c r="R252">
        <f t="shared" si="27"/>
        <v>0</v>
      </c>
    </row>
    <row r="253" spans="1:18" x14ac:dyDescent="0.35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6"/>
        <v>-1.0174593906287903</v>
      </c>
      <c r="P253">
        <f t="shared" si="20"/>
        <v>0.26552257578064925</v>
      </c>
      <c r="Q253">
        <f t="shared" si="21"/>
        <v>0</v>
      </c>
      <c r="R253">
        <f t="shared" si="27"/>
        <v>0</v>
      </c>
    </row>
    <row r="254" spans="1:18" x14ac:dyDescent="0.35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6"/>
        <v>1.4187600770803694</v>
      </c>
      <c r="P254">
        <f t="shared" si="20"/>
        <v>0.80514396201761418</v>
      </c>
      <c r="Q254">
        <f t="shared" si="21"/>
        <v>1</v>
      </c>
      <c r="R254">
        <f t="shared" si="27"/>
        <v>0</v>
      </c>
    </row>
    <row r="255" spans="1:18" x14ac:dyDescent="0.35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6"/>
        <v>-2.8065977831803961</v>
      </c>
      <c r="P255">
        <f t="shared" si="20"/>
        <v>5.6968683702428483E-2</v>
      </c>
      <c r="Q255">
        <f t="shared" si="21"/>
        <v>0</v>
      </c>
      <c r="R255">
        <f t="shared" si="27"/>
        <v>0</v>
      </c>
    </row>
    <row r="256" spans="1:18" x14ac:dyDescent="0.35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si="26"/>
        <v>5.7466944236498083</v>
      </c>
      <c r="P256">
        <f t="shared" si="20"/>
        <v>0.99681684569804985</v>
      </c>
      <c r="Q256">
        <f t="shared" si="21"/>
        <v>1</v>
      </c>
      <c r="R256">
        <f t="shared" si="27"/>
        <v>0</v>
      </c>
    </row>
    <row r="257" spans="1:18" x14ac:dyDescent="0.35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6"/>
        <v>-3.3959306305928862</v>
      </c>
      <c r="P257">
        <f t="shared" si="20"/>
        <v>3.2422884872441347E-2</v>
      </c>
      <c r="Q257">
        <f t="shared" si="21"/>
        <v>0</v>
      </c>
      <c r="R257">
        <f t="shared" si="27"/>
        <v>0</v>
      </c>
    </row>
    <row r="258" spans="1:18" x14ac:dyDescent="0.35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6"/>
        <v>-3.2083988994914163</v>
      </c>
      <c r="P258">
        <f t="shared" si="20"/>
        <v>3.8850877810196971E-2</v>
      </c>
      <c r="Q258">
        <f t="shared" si="21"/>
        <v>0</v>
      </c>
      <c r="R258">
        <f t="shared" si="27"/>
        <v>0</v>
      </c>
    </row>
    <row r="259" spans="1:18" x14ac:dyDescent="0.35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6"/>
        <v>-3.3308748798067898</v>
      </c>
      <c r="P259">
        <f t="shared" si="20"/>
        <v>3.4527054343613167E-2</v>
      </c>
      <c r="Q259">
        <f t="shared" si="21"/>
        <v>0</v>
      </c>
      <c r="R259">
        <f t="shared" si="27"/>
        <v>1</v>
      </c>
    </row>
    <row r="260" spans="1:18" x14ac:dyDescent="0.35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6"/>
        <v>4.1486607760282279</v>
      </c>
      <c r="P260">
        <f t="shared" si="20"/>
        <v>0.98445976827906367</v>
      </c>
      <c r="Q260">
        <f t="shared" si="21"/>
        <v>1</v>
      </c>
      <c r="R260">
        <f t="shared" si="27"/>
        <v>0</v>
      </c>
    </row>
    <row r="261" spans="1:18" x14ac:dyDescent="0.35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6"/>
        <v>5.1222057868299657</v>
      </c>
      <c r="P261">
        <f t="shared" si="20"/>
        <v>0.99407248930042758</v>
      </c>
      <c r="Q261">
        <f t="shared" si="21"/>
        <v>1</v>
      </c>
      <c r="R261">
        <f t="shared" si="27"/>
        <v>0</v>
      </c>
    </row>
    <row r="262" spans="1:18" x14ac:dyDescent="0.35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6"/>
        <v>2.1472897230988153</v>
      </c>
      <c r="P262">
        <f t="shared" si="20"/>
        <v>0.89541524002151873</v>
      </c>
      <c r="Q262">
        <f t="shared" si="21"/>
        <v>1</v>
      </c>
      <c r="R262">
        <f t="shared" si="27"/>
        <v>0</v>
      </c>
    </row>
    <row r="263" spans="1:18" x14ac:dyDescent="0.35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6"/>
        <v>4.6536394011350897</v>
      </c>
      <c r="P263">
        <f t="shared" ref="P263:P306" si="28">1/(1+EXP(0-O263))</f>
        <v>0.99056303800695988</v>
      </c>
      <c r="Q263">
        <f t="shared" ref="Q263:Q306" si="29">IF(P263&lt;=0.5, 0, 1)</f>
        <v>1</v>
      </c>
      <c r="R263">
        <f t="shared" si="27"/>
        <v>0</v>
      </c>
    </row>
    <row r="264" spans="1:18" x14ac:dyDescent="0.35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6"/>
        <v>2.4790118452531189</v>
      </c>
      <c r="P264">
        <f t="shared" si="28"/>
        <v>0.92265731179755617</v>
      </c>
      <c r="Q264">
        <f t="shared" si="29"/>
        <v>1</v>
      </c>
      <c r="R264">
        <f t="shared" si="27"/>
        <v>1</v>
      </c>
    </row>
    <row r="265" spans="1:18" x14ac:dyDescent="0.35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6"/>
        <v>-1.5656018720734748</v>
      </c>
      <c r="P265">
        <f t="shared" si="28"/>
        <v>0.17284428382066716</v>
      </c>
      <c r="Q265">
        <f t="shared" si="29"/>
        <v>0</v>
      </c>
      <c r="R265">
        <f t="shared" si="27"/>
        <v>1</v>
      </c>
    </row>
    <row r="266" spans="1:18" x14ac:dyDescent="0.35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6"/>
        <v>-2.1399452937253836</v>
      </c>
      <c r="P266">
        <f t="shared" si="28"/>
        <v>0.10527454229443048</v>
      </c>
      <c r="Q266">
        <f t="shared" si="29"/>
        <v>0</v>
      </c>
      <c r="R266">
        <f t="shared" si="27"/>
        <v>0</v>
      </c>
    </row>
    <row r="267" spans="1:18" x14ac:dyDescent="0.35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6"/>
        <v>-1.1848584400457316</v>
      </c>
      <c r="P267">
        <f t="shared" si="28"/>
        <v>0.23417976053050019</v>
      </c>
      <c r="Q267">
        <f t="shared" si="29"/>
        <v>0</v>
      </c>
      <c r="R267">
        <f t="shared" si="27"/>
        <v>0</v>
      </c>
    </row>
    <row r="268" spans="1:18" x14ac:dyDescent="0.35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6"/>
        <v>4.6259144031496913</v>
      </c>
      <c r="P268">
        <f t="shared" si="28"/>
        <v>0.99030031085318704</v>
      </c>
      <c r="Q268">
        <f t="shared" si="29"/>
        <v>1</v>
      </c>
      <c r="R268">
        <f t="shared" si="27"/>
        <v>0</v>
      </c>
    </row>
    <row r="269" spans="1:18" x14ac:dyDescent="0.35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6"/>
        <v>0.64492602600074456</v>
      </c>
      <c r="P269">
        <f t="shared" si="28"/>
        <v>0.65586614504372887</v>
      </c>
      <c r="Q269">
        <f t="shared" si="29"/>
        <v>1</v>
      </c>
      <c r="R269">
        <f t="shared" si="27"/>
        <v>0</v>
      </c>
    </row>
    <row r="270" spans="1:18" x14ac:dyDescent="0.35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6"/>
        <v>7.1860591947862336</v>
      </c>
      <c r="P270">
        <f t="shared" si="28"/>
        <v>0.99924350601439471</v>
      </c>
      <c r="Q270">
        <f t="shared" si="29"/>
        <v>1</v>
      </c>
      <c r="R270">
        <f t="shared" si="27"/>
        <v>0</v>
      </c>
    </row>
    <row r="271" spans="1:18" x14ac:dyDescent="0.35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6"/>
        <v>3.4510498787747039</v>
      </c>
      <c r="P271">
        <f t="shared" si="28"/>
        <v>0.96926243485161567</v>
      </c>
      <c r="Q271">
        <f t="shared" si="29"/>
        <v>1</v>
      </c>
      <c r="R271">
        <f t="shared" si="27"/>
        <v>0</v>
      </c>
    </row>
    <row r="272" spans="1:18" x14ac:dyDescent="0.35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6"/>
        <v>-1.728862744629911</v>
      </c>
      <c r="P272">
        <f t="shared" si="28"/>
        <v>0.15073310498449488</v>
      </c>
      <c r="Q272">
        <f t="shared" si="29"/>
        <v>0</v>
      </c>
      <c r="R272">
        <f t="shared" si="27"/>
        <v>0</v>
      </c>
    </row>
    <row r="273" spans="1:18" x14ac:dyDescent="0.35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6"/>
        <v>-3.0217145940739085</v>
      </c>
      <c r="P273">
        <f t="shared" si="28"/>
        <v>4.6454464998132113E-2</v>
      </c>
      <c r="Q273">
        <f t="shared" si="29"/>
        <v>0</v>
      </c>
      <c r="R273">
        <f t="shared" si="27"/>
        <v>0</v>
      </c>
    </row>
    <row r="274" spans="1:18" x14ac:dyDescent="0.35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6"/>
        <v>-1.4464088616803243</v>
      </c>
      <c r="P274">
        <f t="shared" si="28"/>
        <v>0.19055486104900177</v>
      </c>
      <c r="Q274">
        <f t="shared" si="29"/>
        <v>0</v>
      </c>
      <c r="R274">
        <f t="shared" si="27"/>
        <v>0</v>
      </c>
    </row>
    <row r="275" spans="1:18" x14ac:dyDescent="0.35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6"/>
        <v>5.2727186977672602</v>
      </c>
      <c r="P275">
        <f t="shared" si="28"/>
        <v>0.99489653333328287</v>
      </c>
      <c r="Q275">
        <f t="shared" si="29"/>
        <v>1</v>
      </c>
      <c r="R275">
        <f t="shared" si="27"/>
        <v>0</v>
      </c>
    </row>
    <row r="276" spans="1:18" x14ac:dyDescent="0.35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6"/>
        <v>2.5079250260732682</v>
      </c>
      <c r="P276">
        <f t="shared" si="28"/>
        <v>0.92469552965847013</v>
      </c>
      <c r="Q276">
        <f t="shared" si="29"/>
        <v>1</v>
      </c>
      <c r="R276">
        <f t="shared" si="27"/>
        <v>0</v>
      </c>
    </row>
    <row r="277" spans="1:18" x14ac:dyDescent="0.35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6"/>
        <v>-0.40917085873315706</v>
      </c>
      <c r="P277">
        <f t="shared" si="28"/>
        <v>0.39911095032705241</v>
      </c>
      <c r="Q277">
        <f t="shared" si="29"/>
        <v>0</v>
      </c>
      <c r="R277">
        <f t="shared" si="27"/>
        <v>1</v>
      </c>
    </row>
    <row r="278" spans="1:18" x14ac:dyDescent="0.35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6"/>
        <v>-1.5216579285699892</v>
      </c>
      <c r="P278">
        <f t="shared" si="28"/>
        <v>0.17921751072844311</v>
      </c>
      <c r="Q278">
        <f t="shared" si="29"/>
        <v>0</v>
      </c>
      <c r="R278">
        <f t="shared" si="27"/>
        <v>1</v>
      </c>
    </row>
    <row r="279" spans="1:18" x14ac:dyDescent="0.35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6"/>
        <v>-0.40194661757037764</v>
      </c>
      <c r="P279">
        <f t="shared" si="28"/>
        <v>0.40084473407648624</v>
      </c>
      <c r="Q279">
        <f t="shared" si="29"/>
        <v>0</v>
      </c>
      <c r="R279">
        <f t="shared" si="27"/>
        <v>0</v>
      </c>
    </row>
    <row r="280" spans="1:18" x14ac:dyDescent="0.35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6"/>
        <v>1.9836559434569132</v>
      </c>
      <c r="P280">
        <f t="shared" si="28"/>
        <v>0.87907034855437727</v>
      </c>
      <c r="Q280">
        <f t="shared" si="29"/>
        <v>1</v>
      </c>
      <c r="R280">
        <f t="shared" si="27"/>
        <v>1</v>
      </c>
    </row>
    <row r="281" spans="1:18" x14ac:dyDescent="0.35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6"/>
        <v>-3.2004473947265089</v>
      </c>
      <c r="P281">
        <f t="shared" si="28"/>
        <v>3.9148890012561999E-2</v>
      </c>
      <c r="Q281">
        <f t="shared" si="29"/>
        <v>0</v>
      </c>
      <c r="R281">
        <f t="shared" si="27"/>
        <v>0</v>
      </c>
    </row>
    <row r="282" spans="1:18" x14ac:dyDescent="0.35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6"/>
        <v>5.261062924674011</v>
      </c>
      <c r="P282">
        <f t="shared" si="28"/>
        <v>0.99483700937858588</v>
      </c>
      <c r="Q282">
        <f t="shared" si="29"/>
        <v>1</v>
      </c>
      <c r="R282">
        <f t="shared" si="27"/>
        <v>0</v>
      </c>
    </row>
    <row r="283" spans="1:18" x14ac:dyDescent="0.35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6"/>
        <v>-5.9412868215806824E-2</v>
      </c>
      <c r="P283">
        <f t="shared" si="28"/>
        <v>0.48515115058817149</v>
      </c>
      <c r="Q283">
        <f t="shared" si="29"/>
        <v>0</v>
      </c>
      <c r="R283">
        <f t="shared" si="27"/>
        <v>1</v>
      </c>
    </row>
    <row r="284" spans="1:18" x14ac:dyDescent="0.35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6"/>
        <v>-3.5776325105142419</v>
      </c>
      <c r="P284">
        <f t="shared" si="28"/>
        <v>2.7182251588633029E-2</v>
      </c>
      <c r="Q284">
        <f t="shared" si="29"/>
        <v>0</v>
      </c>
      <c r="R284">
        <f t="shared" si="27"/>
        <v>0</v>
      </c>
    </row>
    <row r="285" spans="1:18" x14ac:dyDescent="0.35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6"/>
        <v>-2.917556644520193</v>
      </c>
      <c r="P285">
        <f t="shared" si="28"/>
        <v>5.1292468114224068E-2</v>
      </c>
      <c r="Q285">
        <f t="shared" si="29"/>
        <v>0</v>
      </c>
      <c r="R285">
        <f t="shared" si="27"/>
        <v>0</v>
      </c>
    </row>
    <row r="286" spans="1:18" x14ac:dyDescent="0.35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6"/>
        <v>-3.4971283550168089</v>
      </c>
      <c r="P286">
        <f t="shared" si="28"/>
        <v>2.9394048266907835E-2</v>
      </c>
      <c r="Q286">
        <f t="shared" si="29"/>
        <v>0</v>
      </c>
      <c r="R286">
        <f t="shared" si="27"/>
        <v>0</v>
      </c>
    </row>
    <row r="287" spans="1:18" x14ac:dyDescent="0.35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6"/>
        <v>-0.33350844750579789</v>
      </c>
      <c r="P287">
        <f t="shared" si="28"/>
        <v>0.41738720951064318</v>
      </c>
      <c r="Q287">
        <f t="shared" si="29"/>
        <v>0</v>
      </c>
      <c r="R287">
        <f t="shared" si="27"/>
        <v>1</v>
      </c>
    </row>
    <row r="288" spans="1:18" x14ac:dyDescent="0.35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si="26"/>
        <v>2.0583568398002008</v>
      </c>
      <c r="P288">
        <f t="shared" si="28"/>
        <v>0.88678931126981875</v>
      </c>
      <c r="Q288">
        <f t="shared" si="29"/>
        <v>1</v>
      </c>
      <c r="R288">
        <f t="shared" si="27"/>
        <v>0</v>
      </c>
    </row>
    <row r="289" spans="1:18" x14ac:dyDescent="0.35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ref="O289:O306" si="30">SUMPRODUCT(A$4:M$4,A289:M289)+N$4</f>
        <v>-3.5682166753161519</v>
      </c>
      <c r="P289">
        <f t="shared" si="28"/>
        <v>2.7432349648840861E-2</v>
      </c>
      <c r="Q289">
        <f t="shared" si="29"/>
        <v>0</v>
      </c>
      <c r="R289">
        <f t="shared" ref="R289:R306" si="31">IF(N289=Q289, 0, 1)</f>
        <v>0</v>
      </c>
    </row>
    <row r="290" spans="1:18" x14ac:dyDescent="0.35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30"/>
        <v>3.4119964194113965</v>
      </c>
      <c r="P290">
        <f t="shared" si="28"/>
        <v>0.9680773567211659</v>
      </c>
      <c r="Q290">
        <f t="shared" si="29"/>
        <v>1</v>
      </c>
      <c r="R290">
        <f t="shared" si="31"/>
        <v>0</v>
      </c>
    </row>
    <row r="291" spans="1:18" x14ac:dyDescent="0.35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30"/>
        <v>-3.2778894824893916</v>
      </c>
      <c r="P291">
        <f t="shared" si="28"/>
        <v>3.6337548365668784E-2</v>
      </c>
      <c r="Q291">
        <f t="shared" si="29"/>
        <v>0</v>
      </c>
      <c r="R291">
        <f t="shared" si="31"/>
        <v>0</v>
      </c>
    </row>
    <row r="292" spans="1:18" x14ac:dyDescent="0.35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30"/>
        <v>-0.65356009866120957</v>
      </c>
      <c r="P292">
        <f t="shared" si="28"/>
        <v>0.34218772626679728</v>
      </c>
      <c r="Q292">
        <f t="shared" si="29"/>
        <v>0</v>
      </c>
      <c r="R292">
        <f t="shared" si="31"/>
        <v>0</v>
      </c>
    </row>
    <row r="293" spans="1:18" x14ac:dyDescent="0.35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30"/>
        <v>-2.2644476755172578</v>
      </c>
      <c r="P293">
        <f t="shared" si="28"/>
        <v>9.411050295142008E-2</v>
      </c>
      <c r="Q293">
        <f t="shared" si="29"/>
        <v>0</v>
      </c>
      <c r="R293">
        <f t="shared" si="31"/>
        <v>0</v>
      </c>
    </row>
    <row r="294" spans="1:18" x14ac:dyDescent="0.35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30"/>
        <v>-2.225172223859686</v>
      </c>
      <c r="P294">
        <f t="shared" si="28"/>
        <v>9.7512679609019187E-2</v>
      </c>
      <c r="Q294">
        <f t="shared" si="29"/>
        <v>0</v>
      </c>
      <c r="R294">
        <f t="shared" si="31"/>
        <v>1</v>
      </c>
    </row>
    <row r="295" spans="1:18" x14ac:dyDescent="0.35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30"/>
        <v>-1.5073901135976167</v>
      </c>
      <c r="P295">
        <f t="shared" si="28"/>
        <v>0.18132590030640808</v>
      </c>
      <c r="Q295">
        <f t="shared" si="29"/>
        <v>0</v>
      </c>
      <c r="R295">
        <f t="shared" si="31"/>
        <v>0</v>
      </c>
    </row>
    <row r="296" spans="1:18" x14ac:dyDescent="0.35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30"/>
        <v>-3.3256446936656712</v>
      </c>
      <c r="P296">
        <f t="shared" si="28"/>
        <v>3.470182735667058E-2</v>
      </c>
      <c r="Q296">
        <f t="shared" si="29"/>
        <v>0</v>
      </c>
      <c r="R296">
        <f t="shared" si="31"/>
        <v>0</v>
      </c>
    </row>
    <row r="297" spans="1:18" x14ac:dyDescent="0.35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30"/>
        <v>5.3650041475029369</v>
      </c>
      <c r="P297">
        <f t="shared" si="28"/>
        <v>0.99534433575327019</v>
      </c>
      <c r="Q297">
        <f t="shared" si="29"/>
        <v>1</v>
      </c>
      <c r="R297">
        <f t="shared" si="31"/>
        <v>0</v>
      </c>
    </row>
    <row r="298" spans="1:18" x14ac:dyDescent="0.35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30"/>
        <v>-1.6419049781386335</v>
      </c>
      <c r="P298">
        <f t="shared" si="28"/>
        <v>0.16220601853190569</v>
      </c>
      <c r="Q298">
        <f t="shared" si="29"/>
        <v>0</v>
      </c>
      <c r="R298">
        <f t="shared" si="31"/>
        <v>1</v>
      </c>
    </row>
    <row r="299" spans="1:18" x14ac:dyDescent="0.35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30"/>
        <v>-0.68850191707142905</v>
      </c>
      <c r="P299">
        <f t="shared" si="28"/>
        <v>0.33436641207136181</v>
      </c>
      <c r="Q299">
        <f t="shared" si="29"/>
        <v>0</v>
      </c>
      <c r="R299">
        <f t="shared" si="31"/>
        <v>0</v>
      </c>
    </row>
    <row r="300" spans="1:18" x14ac:dyDescent="0.35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30"/>
        <v>-1.2494981552013744</v>
      </c>
      <c r="P300">
        <f t="shared" si="28"/>
        <v>0.22278702265133771</v>
      </c>
      <c r="Q300">
        <f t="shared" si="29"/>
        <v>0</v>
      </c>
      <c r="R300">
        <f t="shared" si="31"/>
        <v>1</v>
      </c>
    </row>
    <row r="301" spans="1:18" x14ac:dyDescent="0.35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30"/>
        <v>-3.1938350787410057</v>
      </c>
      <c r="P301">
        <f t="shared" si="28"/>
        <v>3.9398379932897465E-2</v>
      </c>
      <c r="Q301">
        <f t="shared" si="29"/>
        <v>0</v>
      </c>
      <c r="R301">
        <f t="shared" si="31"/>
        <v>0</v>
      </c>
    </row>
    <row r="302" spans="1:18" x14ac:dyDescent="0.35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30"/>
        <v>-4.1856451015574594</v>
      </c>
      <c r="P302">
        <f t="shared" si="28"/>
        <v>1.4984440104468946E-2</v>
      </c>
      <c r="Q302">
        <f t="shared" si="29"/>
        <v>0</v>
      </c>
      <c r="R302">
        <f t="shared" si="31"/>
        <v>0</v>
      </c>
    </row>
    <row r="303" spans="1:18" x14ac:dyDescent="0.35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30"/>
        <v>-2.1795041686935859</v>
      </c>
      <c r="P303">
        <f t="shared" si="28"/>
        <v>0.10160617961159454</v>
      </c>
      <c r="Q303">
        <f t="shared" si="29"/>
        <v>0</v>
      </c>
      <c r="R303">
        <f t="shared" si="31"/>
        <v>0</v>
      </c>
    </row>
    <row r="304" spans="1:18" x14ac:dyDescent="0.35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30"/>
        <v>-2.5439377791427411</v>
      </c>
      <c r="P304">
        <f t="shared" si="28"/>
        <v>7.2834807891436315E-2</v>
      </c>
      <c r="Q304">
        <f t="shared" si="29"/>
        <v>0</v>
      </c>
      <c r="R304">
        <f t="shared" si="31"/>
        <v>0</v>
      </c>
    </row>
    <row r="305" spans="1:18" x14ac:dyDescent="0.35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30"/>
        <v>4.4862977888041016</v>
      </c>
      <c r="P305">
        <f t="shared" si="28"/>
        <v>0.98886316397031426</v>
      </c>
      <c r="Q305">
        <f t="shared" si="29"/>
        <v>1</v>
      </c>
      <c r="R305">
        <f t="shared" si="31"/>
        <v>0</v>
      </c>
    </row>
    <row r="306" spans="1:18" x14ac:dyDescent="0.35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 t="shared" si="30"/>
        <v>-2.0988796681059521</v>
      </c>
      <c r="P306">
        <f t="shared" si="28"/>
        <v>0.1092057592203993</v>
      </c>
      <c r="Q306">
        <f t="shared" si="29"/>
        <v>0</v>
      </c>
      <c r="R306">
        <f t="shared" si="31"/>
        <v>1</v>
      </c>
    </row>
  </sheetData>
  <mergeCells count="1">
    <mergeCell ref="A223:M2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DABF-BE13-44A2-B406-C280873F9543}">
  <dimension ref="A1"/>
  <sheetViews>
    <sheetView workbookViewId="0">
      <selection activeCell="J7" sqref="J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6"/>
  <sheetViews>
    <sheetView workbookViewId="0">
      <selection activeCell="O21" sqref="O21"/>
    </sheetView>
  </sheetViews>
  <sheetFormatPr defaultRowHeight="14.5" x14ac:dyDescent="0.35"/>
  <cols>
    <col min="1" max="1" width="7.54296875" customWidth="1"/>
    <col min="2" max="2" width="6.453125" customWidth="1"/>
    <col min="3" max="3" width="6.81640625" customWidth="1"/>
    <col min="4" max="4" width="7.54296875" bestFit="1" customWidth="1"/>
    <col min="5" max="5" width="6.81640625" customWidth="1"/>
    <col min="6" max="6" width="5.453125" customWidth="1"/>
    <col min="7" max="7" width="6.7265625" bestFit="1" customWidth="1"/>
    <col min="8" max="8" width="6.81640625" bestFit="1" customWidth="1"/>
    <col min="9" max="9" width="5.7265625" bestFit="1" customWidth="1"/>
    <col min="10" max="10" width="7.453125" bestFit="1" customWidth="1"/>
    <col min="11" max="11" width="5.26953125" bestFit="1" customWidth="1"/>
    <col min="12" max="12" width="5.1796875" customWidth="1"/>
    <col min="13" max="13" width="5.81640625" customWidth="1"/>
    <col min="14" max="14" width="15.26953125" bestFit="1" customWidth="1"/>
    <col min="15" max="15" width="10.81640625" customWidth="1"/>
    <col min="17" max="17" width="24.81640625" bestFit="1" customWidth="1"/>
    <col min="19" max="19" width="11.81640625" bestFit="1" customWidth="1"/>
    <col min="20" max="20" width="12.453125" bestFit="1" customWidth="1"/>
  </cols>
  <sheetData>
    <row r="1" spans="1:18" x14ac:dyDescent="0.35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</row>
    <row r="2" spans="1:18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8" x14ac:dyDescent="0.35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</row>
    <row r="4" spans="1:18" x14ac:dyDescent="0.35">
      <c r="A4">
        <f>INDEX(LINEST($N6:$N219, $A6:$M219), 1, A1)</f>
        <v>-1.0537637945556705E-3</v>
      </c>
      <c r="B4">
        <f t="shared" ref="B4:N4" si="1">INDEX(LINEST($N6:$N219, $A6:$M219), 1, B1)</f>
        <v>0.11219144928248172</v>
      </c>
      <c r="C4">
        <f t="shared" si="1"/>
        <v>0.10326991889521805</v>
      </c>
      <c r="D4">
        <f t="shared" si="1"/>
        <v>2.3955723505184488E-3</v>
      </c>
      <c r="E4">
        <f t="shared" si="1"/>
        <v>1.117783606677391E-4</v>
      </c>
      <c r="F4">
        <f t="shared" si="1"/>
        <v>-6.789020847422915E-2</v>
      </c>
      <c r="G4">
        <f t="shared" si="1"/>
        <v>2.1567322275336007E-2</v>
      </c>
      <c r="H4">
        <f t="shared" si="1"/>
        <v>-2.6475944947249022E-3</v>
      </c>
      <c r="I4">
        <f t="shared" si="1"/>
        <v>0.12454064278091105</v>
      </c>
      <c r="J4">
        <f t="shared" si="1"/>
        <v>3.1788647213536296E-2</v>
      </c>
      <c r="K4">
        <f t="shared" si="1"/>
        <v>8.6936423828833237E-2</v>
      </c>
      <c r="L4">
        <f t="shared" si="1"/>
        <v>0.15681921554991854</v>
      </c>
      <c r="M4">
        <f t="shared" si="1"/>
        <v>5.25396442585086E-2</v>
      </c>
      <c r="N4">
        <f t="shared" si="1"/>
        <v>-0.41230695948282103</v>
      </c>
      <c r="R4" s="3"/>
    </row>
    <row r="5" spans="1:18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</row>
    <row r="6" spans="1:18" x14ac:dyDescent="0.35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</row>
    <row r="7" spans="1:18" x14ac:dyDescent="0.35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</row>
    <row r="8" spans="1:18" x14ac:dyDescent="0.35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</row>
    <row r="9" spans="1:18" x14ac:dyDescent="0.35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8" x14ac:dyDescent="0.35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</row>
    <row r="11" spans="1:18" x14ac:dyDescent="0.35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</row>
    <row r="12" spans="1:18" x14ac:dyDescent="0.35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</row>
    <row r="13" spans="1:18" x14ac:dyDescent="0.35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</row>
    <row r="14" spans="1:18" x14ac:dyDescent="0.35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</row>
    <row r="15" spans="1:18" x14ac:dyDescent="0.35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</row>
    <row r="16" spans="1:18" x14ac:dyDescent="0.35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</row>
    <row r="17" spans="1:14" x14ac:dyDescent="0.35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</row>
    <row r="18" spans="1:14" x14ac:dyDescent="0.35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</row>
    <row r="19" spans="1:14" x14ac:dyDescent="0.35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</row>
    <row r="20" spans="1:14" x14ac:dyDescent="0.35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</row>
    <row r="21" spans="1:14" x14ac:dyDescent="0.35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</row>
    <row r="22" spans="1:14" x14ac:dyDescent="0.35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</row>
    <row r="23" spans="1:14" x14ac:dyDescent="0.35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</row>
    <row r="24" spans="1:14" x14ac:dyDescent="0.35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</row>
    <row r="25" spans="1:14" x14ac:dyDescent="0.35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</row>
    <row r="26" spans="1:14" x14ac:dyDescent="0.35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</row>
    <row r="27" spans="1:14" x14ac:dyDescent="0.35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</row>
    <row r="28" spans="1:14" x14ac:dyDescent="0.35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</row>
    <row r="29" spans="1:14" x14ac:dyDescent="0.35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</row>
    <row r="30" spans="1:14" x14ac:dyDescent="0.35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</row>
    <row r="31" spans="1:14" x14ac:dyDescent="0.35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</row>
    <row r="32" spans="1:14" x14ac:dyDescent="0.35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</row>
    <row r="33" spans="1:14" x14ac:dyDescent="0.35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</row>
    <row r="34" spans="1:14" x14ac:dyDescent="0.35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</row>
    <row r="35" spans="1:14" x14ac:dyDescent="0.35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</row>
    <row r="36" spans="1:14" x14ac:dyDescent="0.35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</row>
    <row r="37" spans="1:14" x14ac:dyDescent="0.35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</row>
    <row r="38" spans="1:14" x14ac:dyDescent="0.35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</row>
    <row r="39" spans="1:14" x14ac:dyDescent="0.35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</row>
    <row r="40" spans="1:14" x14ac:dyDescent="0.35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</row>
    <row r="41" spans="1:14" x14ac:dyDescent="0.35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</row>
    <row r="42" spans="1:14" x14ac:dyDescent="0.35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</row>
    <row r="43" spans="1:14" x14ac:dyDescent="0.35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</row>
    <row r="44" spans="1:14" x14ac:dyDescent="0.35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</row>
    <row r="45" spans="1:14" x14ac:dyDescent="0.35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</row>
    <row r="46" spans="1:14" x14ac:dyDescent="0.35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</row>
    <row r="47" spans="1:14" x14ac:dyDescent="0.35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</row>
    <row r="48" spans="1:14" x14ac:dyDescent="0.35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</row>
    <row r="49" spans="1:14" x14ac:dyDescent="0.35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</row>
    <row r="50" spans="1:14" x14ac:dyDescent="0.35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</row>
    <row r="51" spans="1:14" x14ac:dyDescent="0.35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</row>
    <row r="52" spans="1:14" x14ac:dyDescent="0.35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</row>
    <row r="53" spans="1:14" x14ac:dyDescent="0.35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</row>
    <row r="54" spans="1:14" x14ac:dyDescent="0.35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</row>
    <row r="55" spans="1:14" x14ac:dyDescent="0.35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</row>
    <row r="56" spans="1:14" x14ac:dyDescent="0.35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</row>
    <row r="57" spans="1:14" x14ac:dyDescent="0.35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</row>
    <row r="58" spans="1:14" x14ac:dyDescent="0.35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</row>
    <row r="59" spans="1:14" x14ac:dyDescent="0.35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</row>
    <row r="60" spans="1:14" x14ac:dyDescent="0.35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</row>
    <row r="61" spans="1:14" x14ac:dyDescent="0.35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</row>
    <row r="62" spans="1:14" x14ac:dyDescent="0.35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</row>
    <row r="63" spans="1:14" x14ac:dyDescent="0.35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</row>
    <row r="64" spans="1:14" x14ac:dyDescent="0.35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</row>
    <row r="65" spans="1:14" x14ac:dyDescent="0.35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</row>
    <row r="66" spans="1:14" x14ac:dyDescent="0.35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</row>
    <row r="67" spans="1:14" x14ac:dyDescent="0.35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</row>
    <row r="68" spans="1:14" x14ac:dyDescent="0.35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</row>
    <row r="69" spans="1:14" x14ac:dyDescent="0.35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</row>
    <row r="70" spans="1:14" x14ac:dyDescent="0.35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</row>
    <row r="71" spans="1:14" x14ac:dyDescent="0.35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</row>
    <row r="72" spans="1:14" x14ac:dyDescent="0.35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</row>
    <row r="73" spans="1:14" x14ac:dyDescent="0.35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</row>
    <row r="74" spans="1:14" x14ac:dyDescent="0.35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</row>
    <row r="75" spans="1:14" x14ac:dyDescent="0.35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</row>
    <row r="76" spans="1:14" x14ac:dyDescent="0.35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</row>
    <row r="77" spans="1:14" x14ac:dyDescent="0.35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</row>
    <row r="78" spans="1:14" x14ac:dyDescent="0.35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</row>
    <row r="79" spans="1:14" x14ac:dyDescent="0.35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</row>
    <row r="80" spans="1:14" x14ac:dyDescent="0.35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</row>
    <row r="81" spans="1:14" x14ac:dyDescent="0.35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</row>
    <row r="82" spans="1:14" x14ac:dyDescent="0.35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</row>
    <row r="83" spans="1:14" x14ac:dyDescent="0.35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</row>
    <row r="84" spans="1:14" x14ac:dyDescent="0.35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</row>
    <row r="85" spans="1:14" x14ac:dyDescent="0.35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</row>
    <row r="86" spans="1:14" x14ac:dyDescent="0.35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</row>
    <row r="87" spans="1:14" x14ac:dyDescent="0.35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</row>
    <row r="88" spans="1:14" x14ac:dyDescent="0.35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</row>
    <row r="89" spans="1:14" x14ac:dyDescent="0.35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</row>
    <row r="90" spans="1:14" x14ac:dyDescent="0.35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</row>
    <row r="91" spans="1:14" x14ac:dyDescent="0.35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</row>
    <row r="92" spans="1:14" x14ac:dyDescent="0.35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</row>
    <row r="93" spans="1:14" x14ac:dyDescent="0.35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</row>
    <row r="94" spans="1:14" x14ac:dyDescent="0.35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</row>
    <row r="95" spans="1:14" x14ac:dyDescent="0.35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</row>
    <row r="96" spans="1:14" x14ac:dyDescent="0.35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</row>
    <row r="97" spans="1:14" x14ac:dyDescent="0.35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</row>
    <row r="98" spans="1:14" x14ac:dyDescent="0.35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</row>
    <row r="99" spans="1:14" x14ac:dyDescent="0.35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</row>
    <row r="100" spans="1:14" x14ac:dyDescent="0.35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</row>
    <row r="101" spans="1:14" x14ac:dyDescent="0.35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</row>
    <row r="102" spans="1:14" x14ac:dyDescent="0.35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</row>
    <row r="103" spans="1:14" x14ac:dyDescent="0.35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</row>
    <row r="104" spans="1:14" x14ac:dyDescent="0.35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</row>
    <row r="105" spans="1:14" x14ac:dyDescent="0.35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</row>
    <row r="106" spans="1:14" x14ac:dyDescent="0.35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</row>
    <row r="107" spans="1:14" x14ac:dyDescent="0.35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</row>
    <row r="108" spans="1:14" x14ac:dyDescent="0.35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</row>
    <row r="109" spans="1:14" x14ac:dyDescent="0.35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</row>
    <row r="110" spans="1:14" x14ac:dyDescent="0.35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</row>
    <row r="111" spans="1:14" x14ac:dyDescent="0.35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</row>
    <row r="112" spans="1:14" x14ac:dyDescent="0.35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</row>
    <row r="113" spans="1:14" x14ac:dyDescent="0.35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</row>
    <row r="114" spans="1:14" x14ac:dyDescent="0.35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</row>
    <row r="115" spans="1:14" x14ac:dyDescent="0.35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</row>
    <row r="116" spans="1:14" x14ac:dyDescent="0.35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</row>
    <row r="117" spans="1:14" x14ac:dyDescent="0.35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</row>
    <row r="118" spans="1:14" x14ac:dyDescent="0.35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</row>
    <row r="119" spans="1:14" x14ac:dyDescent="0.35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</row>
    <row r="120" spans="1:14" x14ac:dyDescent="0.35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</row>
    <row r="121" spans="1:14" x14ac:dyDescent="0.35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</row>
    <row r="122" spans="1:14" x14ac:dyDescent="0.35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</row>
    <row r="123" spans="1:14" x14ac:dyDescent="0.35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</row>
    <row r="124" spans="1:14" x14ac:dyDescent="0.35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</row>
    <row r="125" spans="1:14" x14ac:dyDescent="0.35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</row>
    <row r="126" spans="1:14" x14ac:dyDescent="0.35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</row>
    <row r="127" spans="1:14" x14ac:dyDescent="0.35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</row>
    <row r="128" spans="1:14" x14ac:dyDescent="0.35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</row>
    <row r="129" spans="1:14" x14ac:dyDescent="0.35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</row>
    <row r="130" spans="1:14" x14ac:dyDescent="0.35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</row>
    <row r="131" spans="1:14" x14ac:dyDescent="0.35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</row>
    <row r="132" spans="1:14" x14ac:dyDescent="0.35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</row>
    <row r="133" spans="1:14" x14ac:dyDescent="0.35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</row>
    <row r="134" spans="1:14" x14ac:dyDescent="0.35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35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</row>
    <row r="136" spans="1:14" x14ac:dyDescent="0.35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</row>
    <row r="137" spans="1:14" x14ac:dyDescent="0.35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</row>
    <row r="138" spans="1:14" x14ac:dyDescent="0.35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</row>
    <row r="139" spans="1:14" x14ac:dyDescent="0.35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</row>
    <row r="140" spans="1:14" x14ac:dyDescent="0.35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</row>
    <row r="141" spans="1:14" x14ac:dyDescent="0.35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</row>
    <row r="142" spans="1:14" x14ac:dyDescent="0.35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</row>
    <row r="143" spans="1:14" x14ac:dyDescent="0.35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</row>
    <row r="144" spans="1:14" x14ac:dyDescent="0.35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</row>
    <row r="145" spans="1:14" x14ac:dyDescent="0.35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</row>
    <row r="146" spans="1:14" x14ac:dyDescent="0.35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</row>
    <row r="147" spans="1:14" x14ac:dyDescent="0.35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</row>
    <row r="148" spans="1:14" x14ac:dyDescent="0.35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</row>
    <row r="149" spans="1:14" x14ac:dyDescent="0.35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</row>
    <row r="150" spans="1:14" x14ac:dyDescent="0.35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</row>
    <row r="151" spans="1:14" x14ac:dyDescent="0.35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</row>
    <row r="152" spans="1:14" x14ac:dyDescent="0.35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</row>
    <row r="153" spans="1:14" x14ac:dyDescent="0.35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</row>
    <row r="154" spans="1:14" x14ac:dyDescent="0.35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</row>
    <row r="155" spans="1:14" x14ac:dyDescent="0.35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</row>
    <row r="156" spans="1:14" x14ac:dyDescent="0.35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</row>
    <row r="157" spans="1:14" x14ac:dyDescent="0.35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</row>
    <row r="158" spans="1:14" x14ac:dyDescent="0.35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</row>
    <row r="159" spans="1:14" x14ac:dyDescent="0.35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</row>
    <row r="160" spans="1:14" x14ac:dyDescent="0.35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</row>
    <row r="161" spans="1:14" x14ac:dyDescent="0.35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</row>
    <row r="162" spans="1:14" x14ac:dyDescent="0.35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</row>
    <row r="163" spans="1:14" x14ac:dyDescent="0.35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</row>
    <row r="164" spans="1:14" x14ac:dyDescent="0.35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</row>
    <row r="165" spans="1:14" x14ac:dyDescent="0.35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</row>
    <row r="166" spans="1:14" x14ac:dyDescent="0.35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</row>
    <row r="167" spans="1:14" x14ac:dyDescent="0.35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</row>
    <row r="168" spans="1:14" x14ac:dyDescent="0.35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</row>
    <row r="169" spans="1:14" x14ac:dyDescent="0.35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</row>
    <row r="170" spans="1:14" x14ac:dyDescent="0.35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</row>
    <row r="171" spans="1:14" x14ac:dyDescent="0.35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</row>
    <row r="172" spans="1:14" x14ac:dyDescent="0.35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</row>
    <row r="173" spans="1:14" x14ac:dyDescent="0.35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</row>
    <row r="174" spans="1:14" x14ac:dyDescent="0.35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</row>
    <row r="175" spans="1:14" x14ac:dyDescent="0.35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</row>
    <row r="176" spans="1:14" x14ac:dyDescent="0.35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</row>
    <row r="177" spans="1:14" x14ac:dyDescent="0.35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</row>
    <row r="178" spans="1:14" x14ac:dyDescent="0.35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</row>
    <row r="179" spans="1:14" x14ac:dyDescent="0.35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</row>
    <row r="180" spans="1:14" x14ac:dyDescent="0.35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</row>
    <row r="181" spans="1:14" x14ac:dyDescent="0.35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</row>
    <row r="182" spans="1:14" x14ac:dyDescent="0.35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</row>
    <row r="183" spans="1:14" x14ac:dyDescent="0.35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</row>
    <row r="184" spans="1:14" x14ac:dyDescent="0.35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</row>
    <row r="185" spans="1:14" x14ac:dyDescent="0.35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</row>
    <row r="186" spans="1:14" x14ac:dyDescent="0.35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</row>
    <row r="187" spans="1:14" x14ac:dyDescent="0.35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</row>
    <row r="188" spans="1:14" x14ac:dyDescent="0.35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</row>
    <row r="189" spans="1:14" x14ac:dyDescent="0.35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</row>
    <row r="190" spans="1:14" x14ac:dyDescent="0.35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</row>
    <row r="191" spans="1:14" x14ac:dyDescent="0.35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</row>
    <row r="192" spans="1:14" x14ac:dyDescent="0.35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</row>
    <row r="193" spans="1:14" x14ac:dyDescent="0.35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</row>
    <row r="194" spans="1:14" x14ac:dyDescent="0.35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</row>
    <row r="195" spans="1:14" x14ac:dyDescent="0.35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</row>
    <row r="196" spans="1:14" x14ac:dyDescent="0.35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</row>
    <row r="197" spans="1:14" x14ac:dyDescent="0.35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</row>
    <row r="198" spans="1:14" x14ac:dyDescent="0.35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</row>
    <row r="199" spans="1:14" x14ac:dyDescent="0.35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</row>
    <row r="200" spans="1:14" x14ac:dyDescent="0.35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</row>
    <row r="201" spans="1:14" x14ac:dyDescent="0.35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</row>
    <row r="202" spans="1:14" x14ac:dyDescent="0.35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</row>
    <row r="203" spans="1:14" x14ac:dyDescent="0.35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</row>
    <row r="204" spans="1:14" x14ac:dyDescent="0.35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</row>
    <row r="205" spans="1:14" x14ac:dyDescent="0.35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</row>
    <row r="206" spans="1:14" x14ac:dyDescent="0.35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</row>
    <row r="207" spans="1:14" x14ac:dyDescent="0.35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</row>
    <row r="208" spans="1:14" x14ac:dyDescent="0.35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</row>
    <row r="209" spans="1:14" x14ac:dyDescent="0.35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</row>
    <row r="210" spans="1:14" x14ac:dyDescent="0.35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</row>
    <row r="211" spans="1:14" x14ac:dyDescent="0.35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</row>
    <row r="212" spans="1:14" x14ac:dyDescent="0.35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</row>
    <row r="213" spans="1:14" x14ac:dyDescent="0.35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</row>
    <row r="214" spans="1:14" x14ac:dyDescent="0.35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</row>
    <row r="215" spans="1:14" x14ac:dyDescent="0.35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</row>
    <row r="216" spans="1:14" x14ac:dyDescent="0.35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</row>
    <row r="217" spans="1:14" x14ac:dyDescent="0.35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</row>
    <row r="218" spans="1:14" x14ac:dyDescent="0.35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</row>
    <row r="219" spans="1:14" x14ac:dyDescent="0.35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</row>
    <row r="223" spans="1:14" x14ac:dyDescent="0.35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</row>
    <row r="224" spans="1:14" x14ac:dyDescent="0.35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</row>
    <row r="225" spans="1:14" x14ac:dyDescent="0.35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</row>
    <row r="226" spans="1:14" x14ac:dyDescent="0.35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</row>
    <row r="227" spans="1:14" x14ac:dyDescent="0.35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</row>
    <row r="228" spans="1:14" x14ac:dyDescent="0.35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</row>
    <row r="229" spans="1:14" x14ac:dyDescent="0.35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</row>
    <row r="230" spans="1:14" x14ac:dyDescent="0.35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</row>
    <row r="231" spans="1:14" x14ac:dyDescent="0.35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</row>
    <row r="232" spans="1:14" x14ac:dyDescent="0.35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</row>
    <row r="233" spans="1:14" x14ac:dyDescent="0.35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</row>
    <row r="234" spans="1:14" x14ac:dyDescent="0.35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</row>
    <row r="235" spans="1:14" x14ac:dyDescent="0.35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</row>
    <row r="236" spans="1:14" x14ac:dyDescent="0.35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</row>
    <row r="237" spans="1:14" x14ac:dyDescent="0.35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</row>
    <row r="238" spans="1:14" x14ac:dyDescent="0.35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</row>
    <row r="239" spans="1:14" x14ac:dyDescent="0.35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</row>
    <row r="240" spans="1:14" x14ac:dyDescent="0.35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</row>
    <row r="241" spans="1:14" x14ac:dyDescent="0.35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</row>
    <row r="242" spans="1:14" x14ac:dyDescent="0.35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</row>
    <row r="243" spans="1:14" x14ac:dyDescent="0.35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</row>
    <row r="244" spans="1:14" x14ac:dyDescent="0.35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</row>
    <row r="245" spans="1:14" x14ac:dyDescent="0.35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</row>
    <row r="246" spans="1:14" x14ac:dyDescent="0.35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</row>
    <row r="247" spans="1:14" x14ac:dyDescent="0.35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</row>
    <row r="248" spans="1:14" x14ac:dyDescent="0.35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</row>
    <row r="249" spans="1:14" x14ac:dyDescent="0.35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</row>
    <row r="250" spans="1:14" x14ac:dyDescent="0.35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</row>
    <row r="251" spans="1:14" x14ac:dyDescent="0.35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</row>
    <row r="252" spans="1:14" x14ac:dyDescent="0.35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</row>
    <row r="253" spans="1:14" x14ac:dyDescent="0.35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</row>
    <row r="254" spans="1:14" x14ac:dyDescent="0.35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</row>
    <row r="255" spans="1:14" x14ac:dyDescent="0.35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</row>
    <row r="256" spans="1:14" x14ac:dyDescent="0.35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</row>
    <row r="257" spans="1:14" x14ac:dyDescent="0.35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</row>
    <row r="258" spans="1:14" x14ac:dyDescent="0.35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</row>
    <row r="259" spans="1:14" x14ac:dyDescent="0.35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</row>
    <row r="260" spans="1:14" x14ac:dyDescent="0.35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</row>
    <row r="261" spans="1:14" x14ac:dyDescent="0.35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</row>
    <row r="262" spans="1:14" x14ac:dyDescent="0.35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</row>
    <row r="263" spans="1:14" x14ac:dyDescent="0.35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</row>
    <row r="264" spans="1:14" x14ac:dyDescent="0.35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</row>
    <row r="265" spans="1:14" x14ac:dyDescent="0.35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</row>
    <row r="266" spans="1:14" x14ac:dyDescent="0.35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</row>
    <row r="267" spans="1:14" x14ac:dyDescent="0.35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</row>
    <row r="268" spans="1:14" x14ac:dyDescent="0.35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</row>
    <row r="269" spans="1:14" x14ac:dyDescent="0.35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</row>
    <row r="270" spans="1:14" x14ac:dyDescent="0.35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</row>
    <row r="271" spans="1:14" x14ac:dyDescent="0.35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</row>
    <row r="272" spans="1:14" x14ac:dyDescent="0.35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</row>
    <row r="273" spans="1:14" x14ac:dyDescent="0.35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</row>
    <row r="274" spans="1:14" x14ac:dyDescent="0.35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</row>
    <row r="275" spans="1:14" x14ac:dyDescent="0.35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</row>
    <row r="276" spans="1:14" x14ac:dyDescent="0.35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</row>
    <row r="277" spans="1:14" x14ac:dyDescent="0.35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</row>
    <row r="278" spans="1:14" x14ac:dyDescent="0.35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</row>
    <row r="279" spans="1:14" x14ac:dyDescent="0.35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</row>
    <row r="280" spans="1:14" x14ac:dyDescent="0.35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</row>
    <row r="281" spans="1:14" x14ac:dyDescent="0.35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</row>
    <row r="282" spans="1:14" x14ac:dyDescent="0.35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</row>
    <row r="283" spans="1:14" x14ac:dyDescent="0.35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</row>
    <row r="284" spans="1:14" x14ac:dyDescent="0.35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</row>
    <row r="285" spans="1:14" x14ac:dyDescent="0.35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</row>
    <row r="286" spans="1:14" x14ac:dyDescent="0.35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</row>
    <row r="287" spans="1:14" x14ac:dyDescent="0.35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</row>
    <row r="288" spans="1:14" x14ac:dyDescent="0.35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</row>
    <row r="289" spans="1:14" x14ac:dyDescent="0.35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</row>
    <row r="290" spans="1:14" x14ac:dyDescent="0.35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</row>
    <row r="291" spans="1:14" x14ac:dyDescent="0.35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</row>
    <row r="292" spans="1:14" x14ac:dyDescent="0.35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</row>
    <row r="293" spans="1:14" x14ac:dyDescent="0.35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</row>
    <row r="294" spans="1:14" x14ac:dyDescent="0.35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</row>
    <row r="295" spans="1:14" x14ac:dyDescent="0.35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</row>
    <row r="296" spans="1:14" x14ac:dyDescent="0.35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</row>
    <row r="297" spans="1:14" x14ac:dyDescent="0.35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</row>
    <row r="298" spans="1:14" x14ac:dyDescent="0.35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</row>
    <row r="299" spans="1:14" x14ac:dyDescent="0.35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</row>
    <row r="300" spans="1:14" x14ac:dyDescent="0.35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</row>
    <row r="301" spans="1:14" x14ac:dyDescent="0.35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</row>
    <row r="302" spans="1:14" x14ac:dyDescent="0.35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</row>
    <row r="303" spans="1:14" x14ac:dyDescent="0.35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</row>
    <row r="304" spans="1:14" x14ac:dyDescent="0.35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</row>
    <row r="305" spans="1:14" x14ac:dyDescent="0.35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</row>
    <row r="306" spans="1:14" x14ac:dyDescent="0.35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</row>
  </sheetData>
  <mergeCells count="1">
    <mergeCell ref="A223:M2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LR-log-likelihoods</vt:lpstr>
      <vt:lpstr>Question</vt:lpstr>
      <vt:lpstr>LR-log-loss</vt:lpstr>
      <vt:lpstr>'LR-log-likelihoods'!Heart_disease_processed_cleveland___Copy</vt:lpstr>
      <vt:lpstr>'LR-log-loss'!Heart_disease_processed_cleveland___Copy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2025-11-28T09:19:21Z</dcterms:modified>
</cp:coreProperties>
</file>