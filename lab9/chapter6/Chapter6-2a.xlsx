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597C559B-2E7C-41B5-BE15-C4DE6D8DECDB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H6" i="3" l="1"/>
  <c r="C3" i="3"/>
  <c r="D3" i="3"/>
  <c r="E3" i="3"/>
  <c r="F3" i="3"/>
  <c r="G3" i="3"/>
  <c r="H19" i="3" l="1"/>
  <c r="I19" i="3" s="1"/>
  <c r="H7" i="3"/>
  <c r="I7" i="3" s="1"/>
  <c r="H15" i="3"/>
  <c r="I15" i="3" s="1"/>
  <c r="H11" i="3"/>
  <c r="I11" i="3" s="1"/>
  <c r="H92" i="3"/>
  <c r="I92" i="3" s="1"/>
  <c r="H23" i="3"/>
  <c r="I23" i="3" s="1"/>
  <c r="H27" i="3"/>
  <c r="I27" i="3" s="1"/>
  <c r="H34" i="3"/>
  <c r="I34" i="3" s="1"/>
  <c r="H38" i="3"/>
  <c r="I38" i="3" s="1"/>
  <c r="H42" i="3"/>
  <c r="I42" i="3" s="1"/>
  <c r="H46" i="3"/>
  <c r="I46" i="3" s="1"/>
  <c r="H50" i="3"/>
  <c r="I50" i="3" s="1"/>
  <c r="H54" i="3"/>
  <c r="I54" i="3" s="1"/>
  <c r="H58" i="3"/>
  <c r="I58" i="3" s="1"/>
  <c r="H62" i="3"/>
  <c r="I62" i="3" s="1"/>
  <c r="H65" i="3"/>
  <c r="I65" i="3" s="1"/>
  <c r="H69" i="3"/>
  <c r="I69" i="3" s="1"/>
  <c r="H73" i="3"/>
  <c r="I73" i="3" s="1"/>
  <c r="H77" i="3"/>
  <c r="I77" i="3" s="1"/>
  <c r="H81" i="3"/>
  <c r="I81" i="3" s="1"/>
  <c r="H85" i="3"/>
  <c r="I85" i="3" s="1"/>
  <c r="H89" i="3"/>
  <c r="I89" i="3" s="1"/>
  <c r="H8" i="3"/>
  <c r="I8" i="3" s="1"/>
  <c r="H12" i="3"/>
  <c r="I12" i="3" s="1"/>
  <c r="H16" i="3"/>
  <c r="I16" i="3" s="1"/>
  <c r="H20" i="3"/>
  <c r="I20" i="3" s="1"/>
  <c r="H24" i="3"/>
  <c r="I24" i="3" s="1"/>
  <c r="H28" i="3"/>
  <c r="I28" i="3" s="1"/>
  <c r="H31" i="3"/>
  <c r="I31" i="3" s="1"/>
  <c r="H35" i="3"/>
  <c r="I35" i="3" s="1"/>
  <c r="H39" i="3"/>
  <c r="I39" i="3" s="1"/>
  <c r="H43" i="3"/>
  <c r="I43" i="3" s="1"/>
  <c r="H47" i="3"/>
  <c r="I47" i="3" s="1"/>
  <c r="H51" i="3"/>
  <c r="I51" i="3" s="1"/>
  <c r="H55" i="3"/>
  <c r="I55" i="3" s="1"/>
  <c r="H59" i="3"/>
  <c r="I59" i="3" s="1"/>
  <c r="H66" i="3"/>
  <c r="I66" i="3" s="1"/>
  <c r="H70" i="3"/>
  <c r="I70" i="3" s="1"/>
  <c r="H74" i="3"/>
  <c r="I74" i="3" s="1"/>
  <c r="H78" i="3"/>
  <c r="I78" i="3" s="1"/>
  <c r="H82" i="3"/>
  <c r="I82" i="3" s="1"/>
  <c r="H86" i="3"/>
  <c r="I86" i="3" s="1"/>
  <c r="H90" i="3"/>
  <c r="I90" i="3" s="1"/>
  <c r="H9" i="3"/>
  <c r="I9" i="3" s="1"/>
  <c r="H13" i="3"/>
  <c r="I13" i="3" s="1"/>
  <c r="H17" i="3"/>
  <c r="I17" i="3" s="1"/>
  <c r="H21" i="3"/>
  <c r="I21" i="3" s="1"/>
  <c r="H25" i="3"/>
  <c r="I25" i="3" s="1"/>
  <c r="H29" i="3"/>
  <c r="I29" i="3" s="1"/>
  <c r="H32" i="3"/>
  <c r="I32" i="3" s="1"/>
  <c r="H36" i="3"/>
  <c r="I36" i="3" s="1"/>
  <c r="H40" i="3"/>
  <c r="I40" i="3" s="1"/>
  <c r="H44" i="3"/>
  <c r="I44" i="3" s="1"/>
  <c r="H48" i="3"/>
  <c r="I48" i="3" s="1"/>
  <c r="H52" i="3"/>
  <c r="I52" i="3" s="1"/>
  <c r="H56" i="3"/>
  <c r="I56" i="3" s="1"/>
  <c r="H60" i="3"/>
  <c r="I60" i="3" s="1"/>
  <c r="H63" i="3"/>
  <c r="I63" i="3" s="1"/>
  <c r="H67" i="3"/>
  <c r="I67" i="3" s="1"/>
  <c r="H71" i="3"/>
  <c r="I71" i="3" s="1"/>
  <c r="H75" i="3"/>
  <c r="I75" i="3" s="1"/>
  <c r="H79" i="3"/>
  <c r="I79" i="3" s="1"/>
  <c r="H83" i="3"/>
  <c r="I83" i="3" s="1"/>
  <c r="H87" i="3"/>
  <c r="I87" i="3" s="1"/>
  <c r="H91" i="3"/>
  <c r="I91" i="3" s="1"/>
  <c r="I6" i="3"/>
  <c r="H10" i="3"/>
  <c r="I10" i="3" s="1"/>
  <c r="H14" i="3"/>
  <c r="I14" i="3" s="1"/>
  <c r="H18" i="3"/>
  <c r="I18" i="3" s="1"/>
  <c r="H22" i="3"/>
  <c r="I22" i="3" s="1"/>
  <c r="H26" i="3"/>
  <c r="I26" i="3" s="1"/>
  <c r="H30" i="3"/>
  <c r="I30" i="3" s="1"/>
  <c r="H33" i="3"/>
  <c r="I33" i="3" s="1"/>
  <c r="H37" i="3"/>
  <c r="I37" i="3" s="1"/>
  <c r="H41" i="3"/>
  <c r="I41" i="3" s="1"/>
  <c r="H45" i="3"/>
  <c r="I45" i="3" s="1"/>
  <c r="H49" i="3"/>
  <c r="I49" i="3" s="1"/>
  <c r="H53" i="3"/>
  <c r="I53" i="3" s="1"/>
  <c r="H57" i="3"/>
  <c r="I57" i="3" s="1"/>
  <c r="H61" i="3"/>
  <c r="I61" i="3" s="1"/>
  <c r="H64" i="3"/>
  <c r="I64" i="3" s="1"/>
  <c r="H68" i="3"/>
  <c r="I68" i="3" s="1"/>
  <c r="H72" i="3"/>
  <c r="I72" i="3" s="1"/>
  <c r="H76" i="3"/>
  <c r="I76" i="3" s="1"/>
  <c r="H80" i="3"/>
  <c r="I80" i="3" s="1"/>
  <c r="H84" i="3"/>
  <c r="I84" i="3" s="1"/>
  <c r="H88" i="3"/>
  <c r="I88" i="3" s="1"/>
  <c r="L76" i="3" l="1"/>
  <c r="M76" i="3" s="1"/>
  <c r="J76" i="3"/>
  <c r="K76" i="3" s="1"/>
  <c r="L61" i="3"/>
  <c r="M61" i="3" s="1"/>
  <c r="J61" i="3"/>
  <c r="K61" i="3" s="1"/>
  <c r="L45" i="3"/>
  <c r="M45" i="3" s="1"/>
  <c r="J45" i="3"/>
  <c r="K45" i="3" s="1"/>
  <c r="L30" i="3"/>
  <c r="M30" i="3" s="1"/>
  <c r="J30" i="3"/>
  <c r="K30" i="3" s="1"/>
  <c r="L14" i="3"/>
  <c r="M14" i="3" s="1"/>
  <c r="J14" i="3"/>
  <c r="K14" i="3" s="1"/>
  <c r="L87" i="3"/>
  <c r="M87" i="3" s="1"/>
  <c r="J87" i="3"/>
  <c r="K87" i="3" s="1"/>
  <c r="L71" i="3"/>
  <c r="M71" i="3" s="1"/>
  <c r="J71" i="3"/>
  <c r="K71" i="3" s="1"/>
  <c r="L56" i="3"/>
  <c r="M56" i="3" s="1"/>
  <c r="J56" i="3"/>
  <c r="K56" i="3" s="1"/>
  <c r="L40" i="3"/>
  <c r="M40" i="3" s="1"/>
  <c r="J40" i="3"/>
  <c r="K40" i="3" s="1"/>
  <c r="L25" i="3"/>
  <c r="M25" i="3" s="1"/>
  <c r="J25" i="3"/>
  <c r="K25" i="3" s="1"/>
  <c r="L9" i="3"/>
  <c r="M9" i="3" s="1"/>
  <c r="J9" i="3"/>
  <c r="K9" i="3" s="1"/>
  <c r="L78" i="3"/>
  <c r="M78" i="3" s="1"/>
  <c r="J78" i="3"/>
  <c r="K78" i="3" s="1"/>
  <c r="L59" i="3"/>
  <c r="M59" i="3" s="1"/>
  <c r="J59" i="3"/>
  <c r="K59" i="3" s="1"/>
  <c r="L43" i="3"/>
  <c r="M43" i="3" s="1"/>
  <c r="J43" i="3"/>
  <c r="K43" i="3" s="1"/>
  <c r="L28" i="3"/>
  <c r="M28" i="3" s="1"/>
  <c r="J28" i="3"/>
  <c r="K28" i="3" s="1"/>
  <c r="L12" i="3"/>
  <c r="M12" i="3" s="1"/>
  <c r="J12" i="3"/>
  <c r="K12" i="3" s="1"/>
  <c r="L81" i="3"/>
  <c r="M81" i="3" s="1"/>
  <c r="J81" i="3"/>
  <c r="K81" i="3" s="1"/>
  <c r="L65" i="3"/>
  <c r="M65" i="3" s="1"/>
  <c r="J65" i="3"/>
  <c r="K65" i="3" s="1"/>
  <c r="L50" i="3"/>
  <c r="M50" i="3" s="1"/>
  <c r="J50" i="3"/>
  <c r="K50" i="3" s="1"/>
  <c r="L34" i="3"/>
  <c r="M34" i="3" s="1"/>
  <c r="J34" i="3"/>
  <c r="K34" i="3" s="1"/>
  <c r="L11" i="3"/>
  <c r="M11" i="3" s="1"/>
  <c r="J11" i="3"/>
  <c r="K11" i="3" s="1"/>
  <c r="L88" i="3"/>
  <c r="M88" i="3" s="1"/>
  <c r="J88" i="3"/>
  <c r="K88" i="3" s="1"/>
  <c r="L72" i="3"/>
  <c r="M72" i="3" s="1"/>
  <c r="J72" i="3"/>
  <c r="K72" i="3" s="1"/>
  <c r="L57" i="3"/>
  <c r="M57" i="3" s="1"/>
  <c r="J57" i="3"/>
  <c r="K57" i="3" s="1"/>
  <c r="L41" i="3"/>
  <c r="M41" i="3" s="1"/>
  <c r="J41" i="3"/>
  <c r="K41" i="3" s="1"/>
  <c r="L26" i="3"/>
  <c r="M26" i="3" s="1"/>
  <c r="J26" i="3"/>
  <c r="K26" i="3" s="1"/>
  <c r="L10" i="3"/>
  <c r="M10" i="3" s="1"/>
  <c r="J10" i="3"/>
  <c r="K10" i="3" s="1"/>
  <c r="L83" i="3"/>
  <c r="M83" i="3" s="1"/>
  <c r="J83" i="3"/>
  <c r="K83" i="3" s="1"/>
  <c r="L67" i="3"/>
  <c r="M67" i="3" s="1"/>
  <c r="J67" i="3"/>
  <c r="K67" i="3" s="1"/>
  <c r="L52" i="3"/>
  <c r="M52" i="3" s="1"/>
  <c r="J52" i="3"/>
  <c r="K52" i="3" s="1"/>
  <c r="L36" i="3"/>
  <c r="M36" i="3" s="1"/>
  <c r="J36" i="3"/>
  <c r="K36" i="3" s="1"/>
  <c r="L21" i="3"/>
  <c r="M21" i="3" s="1"/>
  <c r="J21" i="3"/>
  <c r="K21" i="3" s="1"/>
  <c r="L90" i="3"/>
  <c r="M90" i="3" s="1"/>
  <c r="J90" i="3"/>
  <c r="K90" i="3" s="1"/>
  <c r="L74" i="3"/>
  <c r="M74" i="3" s="1"/>
  <c r="J74" i="3"/>
  <c r="K74" i="3" s="1"/>
  <c r="L55" i="3"/>
  <c r="M55" i="3" s="1"/>
  <c r="J55" i="3"/>
  <c r="K55" i="3" s="1"/>
  <c r="L39" i="3"/>
  <c r="M39" i="3" s="1"/>
  <c r="J39" i="3"/>
  <c r="K39" i="3" s="1"/>
  <c r="L24" i="3"/>
  <c r="M24" i="3" s="1"/>
  <c r="J24" i="3"/>
  <c r="K24" i="3" s="1"/>
  <c r="L8" i="3"/>
  <c r="M8" i="3" s="1"/>
  <c r="J8" i="3"/>
  <c r="K8" i="3" s="1"/>
  <c r="L77" i="3"/>
  <c r="M77" i="3" s="1"/>
  <c r="J77" i="3"/>
  <c r="K77" i="3" s="1"/>
  <c r="L62" i="3"/>
  <c r="M62" i="3" s="1"/>
  <c r="J62" i="3"/>
  <c r="K62" i="3" s="1"/>
  <c r="L46" i="3"/>
  <c r="M46" i="3" s="1"/>
  <c r="J46" i="3"/>
  <c r="K46" i="3" s="1"/>
  <c r="L27" i="3"/>
  <c r="M27" i="3" s="1"/>
  <c r="J27" i="3"/>
  <c r="K27" i="3" s="1"/>
  <c r="L15" i="3"/>
  <c r="M15" i="3" s="1"/>
  <c r="J15" i="3"/>
  <c r="K15" i="3" s="1"/>
  <c r="L84" i="3"/>
  <c r="M84" i="3" s="1"/>
  <c r="J84" i="3"/>
  <c r="K84" i="3" s="1"/>
  <c r="L68" i="3"/>
  <c r="M68" i="3" s="1"/>
  <c r="J68" i="3"/>
  <c r="K68" i="3" s="1"/>
  <c r="L53" i="3"/>
  <c r="M53" i="3" s="1"/>
  <c r="J53" i="3"/>
  <c r="K53" i="3" s="1"/>
  <c r="L37" i="3"/>
  <c r="M37" i="3" s="1"/>
  <c r="J37" i="3"/>
  <c r="K37" i="3" s="1"/>
  <c r="L22" i="3"/>
  <c r="M22" i="3" s="1"/>
  <c r="J22" i="3"/>
  <c r="K22" i="3" s="1"/>
  <c r="L6" i="3"/>
  <c r="M6" i="3" s="1"/>
  <c r="J6" i="3"/>
  <c r="K6" i="3" s="1"/>
  <c r="L79" i="3"/>
  <c r="M79" i="3" s="1"/>
  <c r="J79" i="3"/>
  <c r="K79" i="3" s="1"/>
  <c r="L63" i="3"/>
  <c r="M63" i="3" s="1"/>
  <c r="J63" i="3"/>
  <c r="K63" i="3" s="1"/>
  <c r="L48" i="3"/>
  <c r="M48" i="3" s="1"/>
  <c r="J48" i="3"/>
  <c r="K48" i="3" s="1"/>
  <c r="L32" i="3"/>
  <c r="M32" i="3" s="1"/>
  <c r="J32" i="3"/>
  <c r="K32" i="3" s="1"/>
  <c r="L17" i="3"/>
  <c r="M17" i="3" s="1"/>
  <c r="J17" i="3"/>
  <c r="K17" i="3" s="1"/>
  <c r="L86" i="3"/>
  <c r="M86" i="3" s="1"/>
  <c r="J86" i="3"/>
  <c r="K86" i="3" s="1"/>
  <c r="L70" i="3"/>
  <c r="M70" i="3" s="1"/>
  <c r="J70" i="3"/>
  <c r="K70" i="3" s="1"/>
  <c r="L51" i="3"/>
  <c r="M51" i="3" s="1"/>
  <c r="J51" i="3"/>
  <c r="K51" i="3" s="1"/>
  <c r="L35" i="3"/>
  <c r="M35" i="3" s="1"/>
  <c r="J35" i="3"/>
  <c r="K35" i="3" s="1"/>
  <c r="L20" i="3"/>
  <c r="M20" i="3" s="1"/>
  <c r="J20" i="3"/>
  <c r="K20" i="3" s="1"/>
  <c r="L89" i="3"/>
  <c r="M89" i="3" s="1"/>
  <c r="J89" i="3"/>
  <c r="K89" i="3" s="1"/>
  <c r="L73" i="3"/>
  <c r="M73" i="3" s="1"/>
  <c r="J73" i="3"/>
  <c r="K73" i="3" s="1"/>
  <c r="L58" i="3"/>
  <c r="M58" i="3" s="1"/>
  <c r="J58" i="3"/>
  <c r="K58" i="3" s="1"/>
  <c r="L42" i="3"/>
  <c r="M42" i="3" s="1"/>
  <c r="J42" i="3"/>
  <c r="K42" i="3" s="1"/>
  <c r="L23" i="3"/>
  <c r="M23" i="3" s="1"/>
  <c r="J23" i="3"/>
  <c r="K23" i="3" s="1"/>
  <c r="L7" i="3"/>
  <c r="M7" i="3" s="1"/>
  <c r="J7" i="3"/>
  <c r="K7" i="3" s="1"/>
  <c r="L80" i="3"/>
  <c r="M80" i="3" s="1"/>
  <c r="J80" i="3"/>
  <c r="K80" i="3" s="1"/>
  <c r="L64" i="3"/>
  <c r="M64" i="3" s="1"/>
  <c r="J64" i="3"/>
  <c r="K64" i="3" s="1"/>
  <c r="L49" i="3"/>
  <c r="M49" i="3" s="1"/>
  <c r="J49" i="3"/>
  <c r="K49" i="3" s="1"/>
  <c r="L33" i="3"/>
  <c r="M33" i="3" s="1"/>
  <c r="J33" i="3"/>
  <c r="K33" i="3" s="1"/>
  <c r="L18" i="3"/>
  <c r="M18" i="3" s="1"/>
  <c r="J18" i="3"/>
  <c r="K18" i="3" s="1"/>
  <c r="L91" i="3"/>
  <c r="M91" i="3" s="1"/>
  <c r="J91" i="3"/>
  <c r="K91" i="3" s="1"/>
  <c r="L75" i="3"/>
  <c r="M75" i="3" s="1"/>
  <c r="J75" i="3"/>
  <c r="K75" i="3" s="1"/>
  <c r="L60" i="3"/>
  <c r="M60" i="3" s="1"/>
  <c r="J60" i="3"/>
  <c r="K60" i="3" s="1"/>
  <c r="L44" i="3"/>
  <c r="M44" i="3" s="1"/>
  <c r="J44" i="3"/>
  <c r="K44" i="3" s="1"/>
  <c r="L29" i="3"/>
  <c r="M29" i="3" s="1"/>
  <c r="J29" i="3"/>
  <c r="K29" i="3" s="1"/>
  <c r="L13" i="3"/>
  <c r="M13" i="3" s="1"/>
  <c r="J13" i="3"/>
  <c r="K13" i="3" s="1"/>
  <c r="L82" i="3"/>
  <c r="M82" i="3" s="1"/>
  <c r="J82" i="3"/>
  <c r="K82" i="3" s="1"/>
  <c r="L66" i="3"/>
  <c r="M66" i="3" s="1"/>
  <c r="J66" i="3"/>
  <c r="K66" i="3" s="1"/>
  <c r="L47" i="3"/>
  <c r="M47" i="3" s="1"/>
  <c r="J47" i="3"/>
  <c r="K47" i="3" s="1"/>
  <c r="L31" i="3"/>
  <c r="M31" i="3" s="1"/>
  <c r="J31" i="3"/>
  <c r="K31" i="3" s="1"/>
  <c r="L16" i="3"/>
  <c r="M16" i="3" s="1"/>
  <c r="J16" i="3"/>
  <c r="K16" i="3" s="1"/>
  <c r="L85" i="3"/>
  <c r="M85" i="3" s="1"/>
  <c r="J85" i="3"/>
  <c r="K85" i="3" s="1"/>
  <c r="L69" i="3"/>
  <c r="M69" i="3" s="1"/>
  <c r="J69" i="3"/>
  <c r="K69" i="3" s="1"/>
  <c r="L54" i="3"/>
  <c r="M54" i="3" s="1"/>
  <c r="J54" i="3"/>
  <c r="K54" i="3" s="1"/>
  <c r="L38" i="3"/>
  <c r="M38" i="3" s="1"/>
  <c r="J38" i="3"/>
  <c r="K38" i="3" s="1"/>
  <c r="L92" i="3"/>
  <c r="M92" i="3" s="1"/>
  <c r="J92" i="3"/>
  <c r="K92" i="3" s="1"/>
  <c r="L19" i="3"/>
  <c r="M19" i="3" s="1"/>
  <c r="J19" i="3"/>
  <c r="K19" i="3" s="1"/>
  <c r="K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<sst xmlns="http://schemas.openxmlformats.org/spreadsheetml/2006/main" count="22" uniqueCount="22">
  <si>
    <t>5-year survival</t>
  </si>
  <si>
    <t>m1</t>
  </si>
  <si>
    <t>m2</t>
  </si>
  <si>
    <t>m3</t>
  </si>
  <si>
    <t>m4</t>
  </si>
  <si>
    <t>m5</t>
  </si>
  <si>
    <t>b</t>
  </si>
  <si>
    <t>P(1)</t>
  </si>
  <si>
    <t>m1x1+m2x2+…+b</t>
  </si>
  <si>
    <t>Difference</t>
  </si>
  <si>
    <t>Outcome</t>
  </si>
  <si>
    <t>PatientID</t>
  </si>
  <si>
    <t>Gene1</t>
  </si>
  <si>
    <t>Gene2</t>
  </si>
  <si>
    <t>Gene3</t>
  </si>
  <si>
    <t>Gene4</t>
  </si>
  <si>
    <t>Gene5</t>
  </si>
  <si>
    <t>Likelihood</t>
  </si>
  <si>
    <t>Log loss</t>
  </si>
  <si>
    <t>total Diff =</t>
  </si>
  <si>
    <t>To-Minimize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</si>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</sst>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M1" sqref="M1"/>
    </sheetView>
  </sheetViews>
  <sheetFormatPr defaultRowHeight="14.5" x14ac:dyDescent="0.35"/>
  <cols>
    <col min="7" max="7" width="14" bestFit="1" customWidth="1"/>
    <col min="8" max="8" width="16.1796875" bestFit="1" customWidth="1"/>
    <col min="9" max="9" width="12" bestFit="1" customWidth="1"/>
    <col min="10" max="11" width="12" customWidth="1"/>
    <col min="12" max="12" width="12" bestFit="1" customWidth="1"/>
    <col min="13" max="13" width="14.1796875" bestFit="1" customWidth="1"/>
  </cols>
  <sheetData>
    <row r="1" spans="1:13" x14ac:dyDescent="0.35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20</v>
      </c>
      <c r="M1" t="s">
        <v>21</v>
      </c>
    </row>
    <row r="2" spans="1:13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19</v>
      </c>
      <c r="K2">
        <f>SUM(K6:K92)</f>
        <v>12</v>
      </c>
    </row>
    <row r="3" spans="1:13" x14ac:dyDescent="0.35">
      <c r="B3">
        <f>INDEX(LINEST($G$6:$G$92,$B$6:$F$92),1,B$1)</f>
        <v>-3.1646397523048817E-4</v>
      </c>
      <c r="C3">
        <f t="shared" ref="C3:G3" si="0">INDEX(LINEST($G$6:$G$92,$B$6:$F$92),1,C1)</f>
        <v>3.0100064130601915E-3</v>
      </c>
      <c r="D3">
        <f t="shared" si="0"/>
        <v>-5.1330433103881426E-3</v>
      </c>
      <c r="E3">
        <f t="shared" si="0"/>
        <v>-5.1011808354464684E-4</v>
      </c>
      <c r="F3">
        <f t="shared" si="0"/>
        <v>-7.4155185513976826E-4</v>
      </c>
      <c r="G3">
        <f t="shared" si="0"/>
        <v>0.5355740251747082</v>
      </c>
    </row>
    <row r="4" spans="1:13" x14ac:dyDescent="0.35">
      <c r="B4">
        <v>-2.0319701168630175E-2</v>
      </c>
      <c r="C4">
        <v>-7.9392416219025794E-3</v>
      </c>
      <c r="D4">
        <v>-9.7137358474937971E-2</v>
      </c>
      <c r="E4">
        <v>-1.0730979408885798E-2</v>
      </c>
      <c r="F4">
        <v>-3.7996606494114355E-3</v>
      </c>
      <c r="G4">
        <v>4.222998781865865</v>
      </c>
    </row>
    <row r="5" spans="1:13" x14ac:dyDescent="0.35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0</v>
      </c>
      <c r="H5" t="s">
        <v>8</v>
      </c>
      <c r="I5" t="s">
        <v>7</v>
      </c>
      <c r="J5" t="s">
        <v>10</v>
      </c>
      <c r="K5" t="s">
        <v>9</v>
      </c>
      <c r="L5" t="s">
        <v>17</v>
      </c>
      <c r="M5" t="s">
        <v>18</v>
      </c>
    </row>
    <row r="6" spans="1:13" x14ac:dyDescent="0.35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$G$4+SUMPRODUCT($B$4:$F$4, B6:F6)</f>
        <v>-35.67431731446915</v>
      </c>
      <c r="I6">
        <f>1/(1+EXP(0-H6))</f>
        <v>3.2124830483704801E-16</v>
      </c>
      <c r="J6">
        <f>IF(I6&lt;=0.5,0,1)</f>
        <v>0</v>
      </c>
      <c r="K6">
        <f>IF(G6=J6,0,1)</f>
        <v>0</v>
      </c>
      <c r="L6">
        <f>IF(G6=1,I6,1-I6)</f>
        <v>0.99999999999999967</v>
      </c>
      <c r="M6">
        <f>IF(L6=0, 1000000, -LN(L6))</f>
        <v>3.3306690738754701E-16</v>
      </c>
    </row>
    <row r="7" spans="1:13" x14ac:dyDescent="0.35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1">$G$4+SUMPRODUCT($B$4:$F$4, B7:F7)</f>
        <v>-2.1258483260763406</v>
      </c>
      <c r="I7">
        <f t="shared" ref="I7:I70" si="2">1/(1+EXP(0-H7))</f>
        <v>0.10660976890153794</v>
      </c>
      <c r="J7">
        <f t="shared" ref="J7:J70" si="3">IF(I7&lt;=0.5,0,1)</f>
        <v>0</v>
      </c>
      <c r="K7">
        <f t="shared" ref="K7:K70" si="4">IF(G7=J7,0,1)</f>
        <v>0</v>
      </c>
      <c r="L7">
        <f t="shared" ref="L7:L70" si="5">IF(G7=1,I7,1-I7)</f>
        <v>0.89339023109846205</v>
      </c>
      <c r="M7">
        <f t="shared" ref="M7:M70" si="6">IF(L7=0, 1000000, -LN(L7))</f>
        <v>0.11273180464543447</v>
      </c>
    </row>
    <row r="8" spans="1:13" x14ac:dyDescent="0.35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1"/>
        <v>-0.64295318080499619</v>
      </c>
      <c r="I8">
        <f t="shared" si="2"/>
        <v>0.34457927427248131</v>
      </c>
      <c r="J8">
        <f t="shared" si="3"/>
        <v>0</v>
      </c>
      <c r="K8">
        <f t="shared" si="4"/>
        <v>1</v>
      </c>
      <c r="L8">
        <f t="shared" si="5"/>
        <v>0.34457927427248131</v>
      </c>
      <c r="M8">
        <f t="shared" si="6"/>
        <v>1.0654311010020945</v>
      </c>
    </row>
    <row r="9" spans="1:13" x14ac:dyDescent="0.35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1"/>
        <v>2.0492994918243399</v>
      </c>
      <c r="I9">
        <f t="shared" si="2"/>
        <v>0.88587681712797828</v>
      </c>
      <c r="J9">
        <f t="shared" si="3"/>
        <v>1</v>
      </c>
      <c r="K9">
        <f t="shared" si="4"/>
        <v>0</v>
      </c>
      <c r="L9">
        <f t="shared" si="5"/>
        <v>0.88587681712797828</v>
      </c>
      <c r="M9">
        <f t="shared" si="6"/>
        <v>0.12117737062991411</v>
      </c>
    </row>
    <row r="10" spans="1:13" x14ac:dyDescent="0.35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1"/>
        <v>-4.9878491215796927</v>
      </c>
      <c r="I10">
        <f t="shared" si="2"/>
        <v>6.7741167695965646E-3</v>
      </c>
      <c r="J10">
        <f t="shared" si="3"/>
        <v>0</v>
      </c>
      <c r="K10">
        <f t="shared" si="4"/>
        <v>0</v>
      </c>
      <c r="L10">
        <f t="shared" si="5"/>
        <v>0.99322588323040339</v>
      </c>
      <c r="M10">
        <f t="shared" si="6"/>
        <v>6.797165246287964E-3</v>
      </c>
    </row>
    <row r="11" spans="1:13" x14ac:dyDescent="0.35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1"/>
        <v>-6.9288615190318659</v>
      </c>
      <c r="I11">
        <f t="shared" si="2"/>
        <v>9.7815720948861906E-4</v>
      </c>
      <c r="J11">
        <f t="shared" si="3"/>
        <v>0</v>
      </c>
      <c r="K11">
        <f t="shared" si="4"/>
        <v>0</v>
      </c>
      <c r="L11">
        <f t="shared" si="5"/>
        <v>0.99902184279051143</v>
      </c>
      <c r="M11">
        <f t="shared" si="6"/>
        <v>9.786359174450282E-4</v>
      </c>
    </row>
    <row r="12" spans="1:13" x14ac:dyDescent="0.35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1"/>
        <v>0.39279450142443784</v>
      </c>
      <c r="I12">
        <f t="shared" si="2"/>
        <v>0.59695523723158384</v>
      </c>
      <c r="J12">
        <f t="shared" si="3"/>
        <v>1</v>
      </c>
      <c r="K12">
        <f t="shared" si="4"/>
        <v>1</v>
      </c>
      <c r="L12">
        <f t="shared" si="5"/>
        <v>0.40304476276841616</v>
      </c>
      <c r="M12">
        <f t="shared" si="6"/>
        <v>0.9087076493366617</v>
      </c>
    </row>
    <row r="13" spans="1:13" x14ac:dyDescent="0.35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1"/>
        <v>0.27970125991649741</v>
      </c>
      <c r="I13">
        <f t="shared" si="2"/>
        <v>0.56947298230658172</v>
      </c>
      <c r="J13">
        <f t="shared" si="3"/>
        <v>1</v>
      </c>
      <c r="K13">
        <f t="shared" si="4"/>
        <v>0</v>
      </c>
      <c r="L13">
        <f t="shared" si="5"/>
        <v>0.56947298230658172</v>
      </c>
      <c r="M13">
        <f t="shared" si="6"/>
        <v>0.56304393829738097</v>
      </c>
    </row>
    <row r="14" spans="1:13" x14ac:dyDescent="0.35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1"/>
        <v>-2.442906353599434</v>
      </c>
      <c r="I14">
        <f t="shared" si="2"/>
        <v>7.9958843847470318E-2</v>
      </c>
      <c r="J14">
        <f t="shared" si="3"/>
        <v>0</v>
      </c>
      <c r="K14">
        <f t="shared" si="4"/>
        <v>0</v>
      </c>
      <c r="L14">
        <f t="shared" si="5"/>
        <v>0.92004115615252968</v>
      </c>
      <c r="M14">
        <f t="shared" si="6"/>
        <v>8.3336874991227189E-2</v>
      </c>
    </row>
    <row r="15" spans="1:13" x14ac:dyDescent="0.35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1"/>
        <v>-30.484232879754774</v>
      </c>
      <c r="I15">
        <f t="shared" si="2"/>
        <v>5.765883660278014E-14</v>
      </c>
      <c r="J15">
        <f t="shared" si="3"/>
        <v>0</v>
      </c>
      <c r="K15">
        <f t="shared" si="4"/>
        <v>0</v>
      </c>
      <c r="L15">
        <f t="shared" si="5"/>
        <v>0.99999999999994238</v>
      </c>
      <c r="M15">
        <f t="shared" si="6"/>
        <v>5.7620574978047291E-14</v>
      </c>
    </row>
    <row r="16" spans="1:13" x14ac:dyDescent="0.35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1"/>
        <v>-4.5701459960584234</v>
      </c>
      <c r="I16">
        <f t="shared" si="2"/>
        <v>1.0250291004959078E-2</v>
      </c>
      <c r="J16">
        <f t="shared" si="3"/>
        <v>0</v>
      </c>
      <c r="K16">
        <f t="shared" si="4"/>
        <v>0</v>
      </c>
      <c r="L16">
        <f t="shared" si="5"/>
        <v>0.98974970899504089</v>
      </c>
      <c r="M16">
        <f t="shared" si="6"/>
        <v>1.0303187014590553E-2</v>
      </c>
    </row>
    <row r="17" spans="1:13" x14ac:dyDescent="0.35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1"/>
        <v>0.51141914440233549</v>
      </c>
      <c r="I17">
        <f t="shared" si="2"/>
        <v>0.6251390960755111</v>
      </c>
      <c r="J17">
        <f t="shared" si="3"/>
        <v>1</v>
      </c>
      <c r="K17">
        <f t="shared" si="4"/>
        <v>0</v>
      </c>
      <c r="L17">
        <f t="shared" si="5"/>
        <v>0.6251390960755111</v>
      </c>
      <c r="M17">
        <f t="shared" si="6"/>
        <v>0.46978110028632336</v>
      </c>
    </row>
    <row r="18" spans="1:13" x14ac:dyDescent="0.35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1"/>
        <v>1.4236335571772032</v>
      </c>
      <c r="I18">
        <f t="shared" si="2"/>
        <v>0.80590741163432056</v>
      </c>
      <c r="J18">
        <f t="shared" si="3"/>
        <v>1</v>
      </c>
      <c r="K18">
        <f t="shared" si="4"/>
        <v>0</v>
      </c>
      <c r="L18">
        <f t="shared" si="5"/>
        <v>0.80590741163432056</v>
      </c>
      <c r="M18">
        <f t="shared" si="6"/>
        <v>0.21578641697684897</v>
      </c>
    </row>
    <row r="19" spans="1:13" x14ac:dyDescent="0.35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1"/>
        <v>-2.3988936866436479</v>
      </c>
      <c r="I19">
        <f t="shared" si="2"/>
        <v>8.325709732999137E-2</v>
      </c>
      <c r="J19">
        <f t="shared" si="3"/>
        <v>0</v>
      </c>
      <c r="K19">
        <f t="shared" si="4"/>
        <v>0</v>
      </c>
      <c r="L19">
        <f t="shared" si="5"/>
        <v>0.91674290267000869</v>
      </c>
      <c r="M19">
        <f t="shared" si="6"/>
        <v>8.6928213898675097E-2</v>
      </c>
    </row>
    <row r="20" spans="1:13" x14ac:dyDescent="0.35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1"/>
        <v>-36.616680764318403</v>
      </c>
      <c r="I20">
        <f t="shared" si="2"/>
        <v>1.2519229429087646E-16</v>
      </c>
      <c r="J20">
        <f t="shared" si="3"/>
        <v>0</v>
      </c>
      <c r="K20">
        <f t="shared" si="4"/>
        <v>0</v>
      </c>
      <c r="L20">
        <f t="shared" si="5"/>
        <v>0.99999999999999989</v>
      </c>
      <c r="M20">
        <f t="shared" si="6"/>
        <v>1.1102230246251565E-16</v>
      </c>
    </row>
    <row r="21" spans="1:13" x14ac:dyDescent="0.35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1"/>
        <v>-13.87458678881044</v>
      </c>
      <c r="I21">
        <f t="shared" si="2"/>
        <v>9.4263402000169919E-7</v>
      </c>
      <c r="J21">
        <f t="shared" si="3"/>
        <v>0</v>
      </c>
      <c r="K21">
        <f t="shared" si="4"/>
        <v>0</v>
      </c>
      <c r="L21">
        <f t="shared" si="5"/>
        <v>0.99999905736598005</v>
      </c>
      <c r="M21">
        <f t="shared" si="6"/>
        <v>9.4263446423115408E-7</v>
      </c>
    </row>
    <row r="22" spans="1:13" x14ac:dyDescent="0.35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1"/>
        <v>-6.0288027912986166</v>
      </c>
      <c r="I22">
        <f t="shared" si="2"/>
        <v>2.4025892442693336E-3</v>
      </c>
      <c r="J22">
        <f t="shared" si="3"/>
        <v>0</v>
      </c>
      <c r="K22">
        <f t="shared" si="4"/>
        <v>0</v>
      </c>
      <c r="L22">
        <f t="shared" si="5"/>
        <v>0.99759741075573072</v>
      </c>
      <c r="M22">
        <f t="shared" si="6"/>
        <v>2.4054800930840593E-3</v>
      </c>
    </row>
    <row r="23" spans="1:13" x14ac:dyDescent="0.35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1"/>
        <v>-8.1942396982752683</v>
      </c>
      <c r="I23">
        <f t="shared" si="2"/>
        <v>2.7616393523027973E-4</v>
      </c>
      <c r="J23">
        <f t="shared" si="3"/>
        <v>0</v>
      </c>
      <c r="K23">
        <f t="shared" si="4"/>
        <v>0</v>
      </c>
      <c r="L23">
        <f t="shared" si="5"/>
        <v>0.99972383606476967</v>
      </c>
      <c r="M23">
        <f t="shared" si="6"/>
        <v>2.7620207551203632E-4</v>
      </c>
    </row>
    <row r="24" spans="1:13" x14ac:dyDescent="0.35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1"/>
        <v>1.5182028565183292</v>
      </c>
      <c r="I24">
        <f t="shared" si="2"/>
        <v>0.82027368961855052</v>
      </c>
      <c r="J24">
        <f t="shared" si="3"/>
        <v>1</v>
      </c>
      <c r="K24">
        <f t="shared" si="4"/>
        <v>0</v>
      </c>
      <c r="L24">
        <f t="shared" si="5"/>
        <v>0.82027368961855052</v>
      </c>
      <c r="M24">
        <f t="shared" si="6"/>
        <v>0.19811722658442804</v>
      </c>
    </row>
    <row r="25" spans="1:13" x14ac:dyDescent="0.35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1"/>
        <v>-4.4380633753483245</v>
      </c>
      <c r="I25">
        <f t="shared" si="2"/>
        <v>1.1680752425091831E-2</v>
      </c>
      <c r="J25">
        <f t="shared" si="3"/>
        <v>0</v>
      </c>
      <c r="K25">
        <f t="shared" si="4"/>
        <v>0</v>
      </c>
      <c r="L25">
        <f t="shared" si="5"/>
        <v>0.98831924757490819</v>
      </c>
      <c r="M25">
        <f t="shared" si="6"/>
        <v>1.1749508352115459E-2</v>
      </c>
    </row>
    <row r="26" spans="1:13" x14ac:dyDescent="0.35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1"/>
        <v>-2.5296651839549043</v>
      </c>
      <c r="I26">
        <f t="shared" si="2"/>
        <v>7.3804530498398441E-2</v>
      </c>
      <c r="J26">
        <f t="shared" si="3"/>
        <v>0</v>
      </c>
      <c r="K26">
        <f t="shared" si="4"/>
        <v>0</v>
      </c>
      <c r="L26">
        <f t="shared" si="5"/>
        <v>0.92619546950160159</v>
      </c>
      <c r="M26">
        <f t="shared" si="6"/>
        <v>7.6669976437837975E-2</v>
      </c>
    </row>
    <row r="27" spans="1:13" x14ac:dyDescent="0.35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1"/>
        <v>-4.1743942434294787</v>
      </c>
      <c r="I27">
        <f t="shared" si="2"/>
        <v>1.515141109316641E-2</v>
      </c>
      <c r="J27">
        <f t="shared" si="3"/>
        <v>0</v>
      </c>
      <c r="K27">
        <f t="shared" si="4"/>
        <v>0</v>
      </c>
      <c r="L27">
        <f t="shared" si="5"/>
        <v>0.98484858890683358</v>
      </c>
      <c r="M27">
        <f t="shared" si="6"/>
        <v>1.5267366471547614E-2</v>
      </c>
    </row>
    <row r="28" spans="1:13" x14ac:dyDescent="0.35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1"/>
        <v>0.56665871508496046</v>
      </c>
      <c r="I28">
        <f t="shared" si="2"/>
        <v>0.63799183417957395</v>
      </c>
      <c r="J28">
        <f t="shared" si="3"/>
        <v>1</v>
      </c>
      <c r="K28">
        <f t="shared" si="4"/>
        <v>1</v>
      </c>
      <c r="L28">
        <f t="shared" si="5"/>
        <v>0.36200816582042605</v>
      </c>
      <c r="M28">
        <f t="shared" si="6"/>
        <v>1.0160885098957939</v>
      </c>
    </row>
    <row r="29" spans="1:13" x14ac:dyDescent="0.35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1"/>
        <v>-3.5749195494792581</v>
      </c>
      <c r="I29">
        <f t="shared" si="2"/>
        <v>2.7254083536867403E-2</v>
      </c>
      <c r="J29">
        <f t="shared" si="3"/>
        <v>0</v>
      </c>
      <c r="K29">
        <f t="shared" si="4"/>
        <v>0</v>
      </c>
      <c r="L29">
        <f t="shared" si="5"/>
        <v>0.97274591646313258</v>
      </c>
      <c r="M29">
        <f t="shared" si="6"/>
        <v>2.7632365056758239E-2</v>
      </c>
    </row>
    <row r="30" spans="1:13" x14ac:dyDescent="0.35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1"/>
        <v>-5.8120860132257004</v>
      </c>
      <c r="I30">
        <f t="shared" si="2"/>
        <v>2.9822634122688512E-3</v>
      </c>
      <c r="J30">
        <f t="shared" si="3"/>
        <v>0</v>
      </c>
      <c r="K30">
        <f t="shared" si="4"/>
        <v>0</v>
      </c>
      <c r="L30">
        <f t="shared" si="5"/>
        <v>0.99701773658773118</v>
      </c>
      <c r="M30">
        <f t="shared" si="6"/>
        <v>2.9867192209341439E-3</v>
      </c>
    </row>
    <row r="31" spans="1:13" x14ac:dyDescent="0.35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1"/>
        <v>-2.0591439771785502</v>
      </c>
      <c r="I31">
        <f t="shared" si="2"/>
        <v>0.11313168889371708</v>
      </c>
      <c r="J31">
        <f t="shared" si="3"/>
        <v>0</v>
      </c>
      <c r="K31">
        <f t="shared" si="4"/>
        <v>0</v>
      </c>
      <c r="L31">
        <f t="shared" si="5"/>
        <v>0.88686831110628295</v>
      </c>
      <c r="M31">
        <f t="shared" si="6"/>
        <v>0.12005877318925778</v>
      </c>
    </row>
    <row r="32" spans="1:13" x14ac:dyDescent="0.35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1"/>
        <v>-17.183917898953098</v>
      </c>
      <c r="I32">
        <f t="shared" si="2"/>
        <v>3.4444450761758989E-8</v>
      </c>
      <c r="J32">
        <f t="shared" si="3"/>
        <v>0</v>
      </c>
      <c r="K32">
        <f t="shared" si="4"/>
        <v>0</v>
      </c>
      <c r="L32">
        <f t="shared" si="5"/>
        <v>0.99999996555554926</v>
      </c>
      <c r="M32">
        <f t="shared" si="6"/>
        <v>3.4444451329292041E-8</v>
      </c>
    </row>
    <row r="33" spans="1:13" x14ac:dyDescent="0.35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1"/>
        <v>0.53576893020820116</v>
      </c>
      <c r="I33">
        <f t="shared" si="2"/>
        <v>0.63082761530465603</v>
      </c>
      <c r="J33">
        <f t="shared" si="3"/>
        <v>1</v>
      </c>
      <c r="K33">
        <f t="shared" si="4"/>
        <v>0</v>
      </c>
      <c r="L33">
        <f t="shared" si="5"/>
        <v>0.63082761530465603</v>
      </c>
      <c r="M33">
        <f t="shared" si="6"/>
        <v>0.46072264662597545</v>
      </c>
    </row>
    <row r="34" spans="1:13" x14ac:dyDescent="0.35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1"/>
        <v>-2.3400399318635925</v>
      </c>
      <c r="I34">
        <f t="shared" si="2"/>
        <v>8.7860714588791008E-2</v>
      </c>
      <c r="J34">
        <f t="shared" si="3"/>
        <v>0</v>
      </c>
      <c r="K34">
        <f t="shared" si="4"/>
        <v>1</v>
      </c>
      <c r="L34">
        <f t="shared" si="5"/>
        <v>8.7860714588791008E-2</v>
      </c>
      <c r="M34">
        <f t="shared" si="6"/>
        <v>2.4320025072011204</v>
      </c>
    </row>
    <row r="35" spans="1:13" x14ac:dyDescent="0.35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1"/>
        <v>-3.2436985577178925</v>
      </c>
      <c r="I35">
        <f t="shared" si="2"/>
        <v>3.7553982137913354E-2</v>
      </c>
      <c r="J35">
        <f t="shared" si="3"/>
        <v>0</v>
      </c>
      <c r="K35">
        <f t="shared" si="4"/>
        <v>0</v>
      </c>
      <c r="L35">
        <f t="shared" si="5"/>
        <v>0.96244601786208661</v>
      </c>
      <c r="M35">
        <f t="shared" si="6"/>
        <v>3.8277299731130976E-2</v>
      </c>
    </row>
    <row r="36" spans="1:13" x14ac:dyDescent="0.35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1"/>
        <v>-12.399558799956857</v>
      </c>
      <c r="I36">
        <f t="shared" si="2"/>
        <v>4.1203892522896217E-6</v>
      </c>
      <c r="J36">
        <f t="shared" si="3"/>
        <v>0</v>
      </c>
      <c r="K36">
        <f t="shared" si="4"/>
        <v>0</v>
      </c>
      <c r="L36">
        <f t="shared" si="5"/>
        <v>0.99999587961074776</v>
      </c>
      <c r="M36">
        <f t="shared" si="6"/>
        <v>4.1203977410650129E-6</v>
      </c>
    </row>
    <row r="37" spans="1:13" x14ac:dyDescent="0.35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1"/>
        <v>-4.2890539508791594</v>
      </c>
      <c r="I37">
        <f t="shared" si="2"/>
        <v>1.3532262778348953E-2</v>
      </c>
      <c r="J37">
        <f t="shared" si="3"/>
        <v>0</v>
      </c>
      <c r="K37">
        <f t="shared" si="4"/>
        <v>0</v>
      </c>
      <c r="L37">
        <f t="shared" si="5"/>
        <v>0.98646773722165104</v>
      </c>
      <c r="M37">
        <f t="shared" si="6"/>
        <v>1.3624658340476674E-2</v>
      </c>
    </row>
    <row r="38" spans="1:13" x14ac:dyDescent="0.35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1"/>
        <v>1.8224776809885737</v>
      </c>
      <c r="I38">
        <f t="shared" si="2"/>
        <v>0.86086316358923598</v>
      </c>
      <c r="J38">
        <f t="shared" si="3"/>
        <v>1</v>
      </c>
      <c r="K38">
        <f t="shared" si="4"/>
        <v>0</v>
      </c>
      <c r="L38">
        <f t="shared" si="5"/>
        <v>0.86086316358923598</v>
      </c>
      <c r="M38">
        <f t="shared" si="6"/>
        <v>0.14981971449103496</v>
      </c>
    </row>
    <row r="39" spans="1:13" x14ac:dyDescent="0.35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1"/>
        <v>-0.97238286872823565</v>
      </c>
      <c r="I39">
        <f t="shared" si="2"/>
        <v>0.27440580079670251</v>
      </c>
      <c r="J39">
        <f t="shared" si="3"/>
        <v>0</v>
      </c>
      <c r="K39">
        <f t="shared" si="4"/>
        <v>0</v>
      </c>
      <c r="L39">
        <f t="shared" si="5"/>
        <v>0.72559419920329749</v>
      </c>
      <c r="M39">
        <f t="shared" si="6"/>
        <v>0.3207643746959426</v>
      </c>
    </row>
    <row r="40" spans="1:13" x14ac:dyDescent="0.35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1"/>
        <v>-2.2547255730159232</v>
      </c>
      <c r="I40">
        <f t="shared" si="2"/>
        <v>9.4942625402322414E-2</v>
      </c>
      <c r="J40">
        <f t="shared" si="3"/>
        <v>0</v>
      </c>
      <c r="K40">
        <f t="shared" si="4"/>
        <v>0</v>
      </c>
      <c r="L40">
        <f t="shared" si="5"/>
        <v>0.90505737459767754</v>
      </c>
      <c r="M40">
        <f t="shared" si="6"/>
        <v>9.975693994623766E-2</v>
      </c>
    </row>
    <row r="41" spans="1:13" x14ac:dyDescent="0.35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1"/>
        <v>-0.6548533885134491</v>
      </c>
      <c r="I41">
        <f t="shared" si="2"/>
        <v>0.34189667226111237</v>
      </c>
      <c r="J41">
        <f t="shared" si="3"/>
        <v>0</v>
      </c>
      <c r="K41">
        <f t="shared" si="4"/>
        <v>0</v>
      </c>
      <c r="L41">
        <f t="shared" si="5"/>
        <v>0.65810332773888769</v>
      </c>
      <c r="M41">
        <f t="shared" si="6"/>
        <v>0.41839332694739345</v>
      </c>
    </row>
    <row r="42" spans="1:13" x14ac:dyDescent="0.35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1"/>
        <v>-11.715629398901953</v>
      </c>
      <c r="I42">
        <f t="shared" si="2"/>
        <v>8.1651328250033889E-6</v>
      </c>
      <c r="J42">
        <f t="shared" si="3"/>
        <v>0</v>
      </c>
      <c r="K42">
        <f t="shared" si="4"/>
        <v>0</v>
      </c>
      <c r="L42">
        <f t="shared" si="5"/>
        <v>0.99999183486717502</v>
      </c>
      <c r="M42">
        <f t="shared" si="6"/>
        <v>8.1651661598561419E-6</v>
      </c>
    </row>
    <row r="43" spans="1:13" x14ac:dyDescent="0.35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1"/>
        <v>-0.47252770691675394</v>
      </c>
      <c r="I43">
        <f t="shared" si="2"/>
        <v>0.3840181440392757</v>
      </c>
      <c r="J43">
        <f t="shared" si="3"/>
        <v>0</v>
      </c>
      <c r="K43">
        <f t="shared" si="4"/>
        <v>0</v>
      </c>
      <c r="L43">
        <f t="shared" si="5"/>
        <v>0.6159818559607243</v>
      </c>
      <c r="M43">
        <f t="shared" si="6"/>
        <v>0.48453777049162661</v>
      </c>
    </row>
    <row r="44" spans="1:13" x14ac:dyDescent="0.35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1"/>
        <v>-8.3023131420513572</v>
      </c>
      <c r="I44">
        <f t="shared" si="2"/>
        <v>2.4788117642019516E-4</v>
      </c>
      <c r="J44">
        <f t="shared" si="3"/>
        <v>0</v>
      </c>
      <c r="K44">
        <f t="shared" si="4"/>
        <v>0</v>
      </c>
      <c r="L44">
        <f t="shared" si="5"/>
        <v>0.99975211882357984</v>
      </c>
      <c r="M44">
        <f t="shared" si="6"/>
        <v>2.4791190403694341E-4</v>
      </c>
    </row>
    <row r="45" spans="1:13" x14ac:dyDescent="0.35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1"/>
        <v>-13.376048236395079</v>
      </c>
      <c r="I45">
        <f t="shared" si="2"/>
        <v>1.5518701774279321E-6</v>
      </c>
      <c r="J45">
        <f t="shared" si="3"/>
        <v>0</v>
      </c>
      <c r="K45">
        <f t="shared" si="4"/>
        <v>0</v>
      </c>
      <c r="L45">
        <f t="shared" si="5"/>
        <v>0.99999844812982253</v>
      </c>
      <c r="M45">
        <f t="shared" si="6"/>
        <v>1.5518713816259268E-6</v>
      </c>
    </row>
    <row r="46" spans="1:13" x14ac:dyDescent="0.35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1"/>
        <v>-1.7737816377398632</v>
      </c>
      <c r="I46">
        <f t="shared" si="2"/>
        <v>0.14507267547493372</v>
      </c>
      <c r="J46">
        <f t="shared" si="3"/>
        <v>0</v>
      </c>
      <c r="K46">
        <f t="shared" si="4"/>
        <v>0</v>
      </c>
      <c r="L46">
        <f t="shared" si="5"/>
        <v>0.85492732452506626</v>
      </c>
      <c r="M46">
        <f t="shared" si="6"/>
        <v>0.15673881421360683</v>
      </c>
    </row>
    <row r="47" spans="1:13" x14ac:dyDescent="0.35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1"/>
        <v>-7.4909108591413851</v>
      </c>
      <c r="I47">
        <f t="shared" si="2"/>
        <v>5.5782300692510355E-4</v>
      </c>
      <c r="J47">
        <f t="shared" si="3"/>
        <v>0</v>
      </c>
      <c r="K47">
        <f t="shared" si="4"/>
        <v>0</v>
      </c>
      <c r="L47">
        <f t="shared" si="5"/>
        <v>0.99944217699307492</v>
      </c>
      <c r="M47">
        <f t="shared" si="6"/>
        <v>5.5797864806144109E-4</v>
      </c>
    </row>
    <row r="48" spans="1:13" x14ac:dyDescent="0.35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1"/>
        <v>1.1524684085641113</v>
      </c>
      <c r="I48">
        <f t="shared" si="2"/>
        <v>0.75996149299596616</v>
      </c>
      <c r="J48">
        <f t="shared" si="3"/>
        <v>1</v>
      </c>
      <c r="K48">
        <f t="shared" si="4"/>
        <v>0</v>
      </c>
      <c r="L48">
        <f t="shared" si="5"/>
        <v>0.75996149299596616</v>
      </c>
      <c r="M48">
        <f t="shared" si="6"/>
        <v>0.27448751409595251</v>
      </c>
    </row>
    <row r="49" spans="1:13" x14ac:dyDescent="0.35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1"/>
        <v>0.67204847241083643</v>
      </c>
      <c r="I49">
        <f t="shared" si="2"/>
        <v>0.6619616945860064</v>
      </c>
      <c r="J49">
        <f t="shared" si="3"/>
        <v>1</v>
      </c>
      <c r="K49">
        <f t="shared" si="4"/>
        <v>0</v>
      </c>
      <c r="L49">
        <f t="shared" si="5"/>
        <v>0.6619616945860064</v>
      </c>
      <c r="M49">
        <f t="shared" si="6"/>
        <v>0.41254758788239859</v>
      </c>
    </row>
    <row r="50" spans="1:13" x14ac:dyDescent="0.35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1"/>
        <v>-15.555693919596234</v>
      </c>
      <c r="I50">
        <f t="shared" si="2"/>
        <v>1.7548818906423584E-7</v>
      </c>
      <c r="J50">
        <f t="shared" si="3"/>
        <v>0</v>
      </c>
      <c r="K50">
        <f t="shared" si="4"/>
        <v>0</v>
      </c>
      <c r="L50">
        <f t="shared" si="5"/>
        <v>0.99999982451181091</v>
      </c>
      <c r="M50">
        <f t="shared" si="6"/>
        <v>1.7548820448946467E-7</v>
      </c>
    </row>
    <row r="51" spans="1:13" x14ac:dyDescent="0.35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1"/>
        <v>-7.4579683323226398E-2</v>
      </c>
      <c r="I51">
        <f t="shared" si="2"/>
        <v>0.48136371648653142</v>
      </c>
      <c r="J51">
        <f t="shared" si="3"/>
        <v>0</v>
      </c>
      <c r="K51">
        <f t="shared" si="4"/>
        <v>1</v>
      </c>
      <c r="L51">
        <f t="shared" si="5"/>
        <v>0.48136371648653142</v>
      </c>
      <c r="M51">
        <f t="shared" si="6"/>
        <v>0.7311321272951854</v>
      </c>
    </row>
    <row r="52" spans="1:13" x14ac:dyDescent="0.35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1"/>
        <v>-0.67849865215540728</v>
      </c>
      <c r="I52">
        <f t="shared" si="2"/>
        <v>0.33659647020992939</v>
      </c>
      <c r="J52">
        <f t="shared" si="3"/>
        <v>0</v>
      </c>
      <c r="K52">
        <f t="shared" si="4"/>
        <v>0</v>
      </c>
      <c r="L52">
        <f t="shared" si="5"/>
        <v>0.66340352979007067</v>
      </c>
      <c r="M52">
        <f t="shared" si="6"/>
        <v>0.4103718317265258</v>
      </c>
    </row>
    <row r="53" spans="1:13" x14ac:dyDescent="0.35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1"/>
        <v>-9.154047277513488</v>
      </c>
      <c r="I53">
        <f t="shared" si="2"/>
        <v>1.057795800159289E-4</v>
      </c>
      <c r="J53">
        <f t="shared" si="3"/>
        <v>0</v>
      </c>
      <c r="K53">
        <f t="shared" si="4"/>
        <v>0</v>
      </c>
      <c r="L53">
        <f t="shared" si="5"/>
        <v>0.9998942204199841</v>
      </c>
      <c r="M53">
        <f t="shared" si="6"/>
        <v>1.0578517507023602E-4</v>
      </c>
    </row>
    <row r="54" spans="1:13" x14ac:dyDescent="0.35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1"/>
        <v>-6.4967284620317525</v>
      </c>
      <c r="I54">
        <f t="shared" si="2"/>
        <v>1.5060940649987264E-3</v>
      </c>
      <c r="J54">
        <f t="shared" si="3"/>
        <v>0</v>
      </c>
      <c r="K54">
        <f t="shared" si="4"/>
        <v>0</v>
      </c>
      <c r="L54">
        <f t="shared" si="5"/>
        <v>0.99849390593500131</v>
      </c>
      <c r="M54">
        <f t="shared" si="6"/>
        <v>1.5072293647202966E-3</v>
      </c>
    </row>
    <row r="55" spans="1:13" x14ac:dyDescent="0.35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1"/>
        <v>-0.9276131263671763</v>
      </c>
      <c r="I55">
        <f t="shared" si="2"/>
        <v>0.28340921022309118</v>
      </c>
      <c r="J55">
        <f t="shared" si="3"/>
        <v>0</v>
      </c>
      <c r="K55">
        <f t="shared" si="4"/>
        <v>0</v>
      </c>
      <c r="L55">
        <f t="shared" si="5"/>
        <v>0.71659078977690882</v>
      </c>
      <c r="M55">
        <f t="shared" si="6"/>
        <v>0.33325032686355777</v>
      </c>
    </row>
    <row r="56" spans="1:13" x14ac:dyDescent="0.35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1"/>
        <v>-0.56859319689863774</v>
      </c>
      <c r="I56">
        <f t="shared" si="2"/>
        <v>0.3615615006522217</v>
      </c>
      <c r="J56">
        <f t="shared" si="3"/>
        <v>0</v>
      </c>
      <c r="K56">
        <f t="shared" si="4"/>
        <v>0</v>
      </c>
      <c r="L56">
        <f t="shared" si="5"/>
        <v>0.6384384993477783</v>
      </c>
      <c r="M56">
        <f t="shared" si="6"/>
        <v>0.44872992866897821</v>
      </c>
    </row>
    <row r="57" spans="1:13" x14ac:dyDescent="0.35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1"/>
        <v>-2.4556838599748332E-2</v>
      </c>
      <c r="I57">
        <f t="shared" si="2"/>
        <v>0.49386109884634982</v>
      </c>
      <c r="J57">
        <f t="shared" si="3"/>
        <v>0</v>
      </c>
      <c r="K57">
        <f t="shared" si="4"/>
        <v>0</v>
      </c>
      <c r="L57">
        <f t="shared" si="5"/>
        <v>0.50613890115365012</v>
      </c>
      <c r="M57">
        <f t="shared" si="6"/>
        <v>0.68094413915636143</v>
      </c>
    </row>
    <row r="58" spans="1:13" x14ac:dyDescent="0.35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1"/>
        <v>0.50931551724554991</v>
      </c>
      <c r="I58">
        <f t="shared" si="2"/>
        <v>0.62464600202971343</v>
      </c>
      <c r="J58">
        <f t="shared" si="3"/>
        <v>1</v>
      </c>
      <c r="K58">
        <f t="shared" si="4"/>
        <v>0</v>
      </c>
      <c r="L58">
        <f t="shared" si="5"/>
        <v>0.62464600202971343</v>
      </c>
      <c r="M58">
        <f t="shared" si="6"/>
        <v>0.47057018646142806</v>
      </c>
    </row>
    <row r="59" spans="1:13" x14ac:dyDescent="0.35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1"/>
        <v>0.28796137526565158</v>
      </c>
      <c r="I59">
        <f t="shared" si="2"/>
        <v>0.57149697075265771</v>
      </c>
      <c r="J59">
        <f t="shared" si="3"/>
        <v>1</v>
      </c>
      <c r="K59">
        <f t="shared" si="4"/>
        <v>0</v>
      </c>
      <c r="L59">
        <f t="shared" si="5"/>
        <v>0.57149697075265771</v>
      </c>
      <c r="M59">
        <f t="shared" si="6"/>
        <v>0.55949609628160346</v>
      </c>
    </row>
    <row r="60" spans="1:13" x14ac:dyDescent="0.35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1"/>
        <v>-4.0790287587919298</v>
      </c>
      <c r="I60">
        <f t="shared" si="2"/>
        <v>1.6642243281654253E-2</v>
      </c>
      <c r="J60">
        <f t="shared" si="3"/>
        <v>0</v>
      </c>
      <c r="K60">
        <f t="shared" si="4"/>
        <v>0</v>
      </c>
      <c r="L60">
        <f t="shared" si="5"/>
        <v>0.9833577567183458</v>
      </c>
      <c r="M60">
        <f t="shared" si="6"/>
        <v>1.6782281284132231E-2</v>
      </c>
    </row>
    <row r="61" spans="1:13" x14ac:dyDescent="0.35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1"/>
        <v>-0.274463469239703</v>
      </c>
      <c r="I61">
        <f t="shared" si="2"/>
        <v>0.43181164971200087</v>
      </c>
      <c r="J61">
        <f t="shared" si="3"/>
        <v>0</v>
      </c>
      <c r="K61">
        <f t="shared" si="4"/>
        <v>0</v>
      </c>
      <c r="L61">
        <f t="shared" si="5"/>
        <v>0.56818835028799919</v>
      </c>
      <c r="M61">
        <f t="shared" si="6"/>
        <v>0.56530231260926622</v>
      </c>
    </row>
    <row r="62" spans="1:13" x14ac:dyDescent="0.35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1"/>
        <v>0.72011042540129289</v>
      </c>
      <c r="I62">
        <f t="shared" si="2"/>
        <v>0.67263133303047606</v>
      </c>
      <c r="J62">
        <f t="shared" si="3"/>
        <v>1</v>
      </c>
      <c r="K62">
        <f t="shared" si="4"/>
        <v>0</v>
      </c>
      <c r="L62">
        <f t="shared" si="5"/>
        <v>0.67263133303047606</v>
      </c>
      <c r="M62">
        <f t="shared" si="6"/>
        <v>0.39655789582126211</v>
      </c>
    </row>
    <row r="63" spans="1:13" x14ac:dyDescent="0.35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1"/>
        <v>1.2473535525421089</v>
      </c>
      <c r="I63">
        <f t="shared" si="2"/>
        <v>0.77684141228169412</v>
      </c>
      <c r="J63">
        <f t="shared" si="3"/>
        <v>1</v>
      </c>
      <c r="K63">
        <f t="shared" si="4"/>
        <v>0</v>
      </c>
      <c r="L63">
        <f t="shared" si="5"/>
        <v>0.77684141228169412</v>
      </c>
      <c r="M63">
        <f t="shared" si="6"/>
        <v>0.25251905204382163</v>
      </c>
    </row>
    <row r="64" spans="1:13" x14ac:dyDescent="0.35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1"/>
        <v>-7.7620230636909149E-2</v>
      </c>
      <c r="I64">
        <f t="shared" si="2"/>
        <v>0.48060467926906697</v>
      </c>
      <c r="J64">
        <f t="shared" si="3"/>
        <v>0</v>
      </c>
      <c r="K64">
        <f t="shared" si="4"/>
        <v>0</v>
      </c>
      <c r="L64">
        <f t="shared" si="5"/>
        <v>0.51939532073093297</v>
      </c>
      <c r="M64">
        <f t="shared" si="6"/>
        <v>0.65508998878341751</v>
      </c>
    </row>
    <row r="65" spans="1:13" x14ac:dyDescent="0.35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1"/>
        <v>0.39745277145614555</v>
      </c>
      <c r="I65">
        <f t="shared" si="2"/>
        <v>0.59807550753098992</v>
      </c>
      <c r="J65">
        <f t="shared" si="3"/>
        <v>1</v>
      </c>
      <c r="K65">
        <f t="shared" si="4"/>
        <v>1</v>
      </c>
      <c r="L65">
        <f t="shared" si="5"/>
        <v>0.40192449246901008</v>
      </c>
      <c r="M65">
        <f t="shared" si="6"/>
        <v>0.91149103768439876</v>
      </c>
    </row>
    <row r="66" spans="1:13" x14ac:dyDescent="0.35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1"/>
        <v>0.52190809931173376</v>
      </c>
      <c r="I66">
        <f t="shared" si="2"/>
        <v>0.62759383539324487</v>
      </c>
      <c r="J66">
        <f t="shared" si="3"/>
        <v>1</v>
      </c>
      <c r="K66">
        <f t="shared" si="4"/>
        <v>0</v>
      </c>
      <c r="L66">
        <f t="shared" si="5"/>
        <v>0.62759383539324487</v>
      </c>
      <c r="M66">
        <f t="shared" si="6"/>
        <v>0.46586208068067075</v>
      </c>
    </row>
    <row r="67" spans="1:13" x14ac:dyDescent="0.35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1"/>
        <v>2.3042416767857419</v>
      </c>
      <c r="I67">
        <f t="shared" si="2"/>
        <v>0.90922772409238151</v>
      </c>
      <c r="J67">
        <f t="shared" si="3"/>
        <v>1</v>
      </c>
      <c r="K67">
        <f t="shared" si="4"/>
        <v>0</v>
      </c>
      <c r="L67">
        <f t="shared" si="5"/>
        <v>0.90922772409238151</v>
      </c>
      <c r="M67">
        <f t="shared" si="6"/>
        <v>9.5159694626167621E-2</v>
      </c>
    </row>
    <row r="68" spans="1:13" x14ac:dyDescent="0.35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1"/>
        <v>1.7329940952206213</v>
      </c>
      <c r="I68">
        <f t="shared" si="2"/>
        <v>0.84979499732186259</v>
      </c>
      <c r="J68">
        <f t="shared" si="3"/>
        <v>1</v>
      </c>
      <c r="K68">
        <f t="shared" si="4"/>
        <v>0</v>
      </c>
      <c r="L68">
        <f t="shared" si="5"/>
        <v>0.84979499732186259</v>
      </c>
      <c r="M68">
        <f t="shared" si="6"/>
        <v>0.16276013820759505</v>
      </c>
    </row>
    <row r="69" spans="1:13" x14ac:dyDescent="0.35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1"/>
        <v>1.3482544701921544</v>
      </c>
      <c r="I69">
        <f t="shared" si="2"/>
        <v>0.79384410892104784</v>
      </c>
      <c r="J69">
        <f t="shared" si="3"/>
        <v>1</v>
      </c>
      <c r="K69">
        <f t="shared" si="4"/>
        <v>1</v>
      </c>
      <c r="L69">
        <f t="shared" si="5"/>
        <v>0.20615589107895216</v>
      </c>
      <c r="M69">
        <f t="shared" si="6"/>
        <v>1.5791226435751409</v>
      </c>
    </row>
    <row r="70" spans="1:13" x14ac:dyDescent="0.35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1"/>
        <v>-1.6644847210567031</v>
      </c>
      <c r="I70">
        <f t="shared" si="2"/>
        <v>0.15916089471712602</v>
      </c>
      <c r="J70">
        <f t="shared" si="3"/>
        <v>0</v>
      </c>
      <c r="K70">
        <f t="shared" si="4"/>
        <v>0</v>
      </c>
      <c r="L70">
        <f t="shared" si="5"/>
        <v>0.84083910528287398</v>
      </c>
      <c r="M70">
        <f t="shared" si="6"/>
        <v>0.17335495088762073</v>
      </c>
    </row>
    <row r="71" spans="1:13" x14ac:dyDescent="0.35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7">$G$4+SUMPRODUCT($B$4:$F$4, B71:F71)</f>
        <v>-19.833499520906663</v>
      </c>
      <c r="I71">
        <f t="shared" ref="I71:I92" si="8">1/(1+EXP(0-H71))</f>
        <v>2.4345606611059843E-9</v>
      </c>
      <c r="J71">
        <f t="shared" ref="J71:J92" si="9">IF(I71&lt;=0.5,0,1)</f>
        <v>0</v>
      </c>
      <c r="K71">
        <f t="shared" ref="K71:K92" si="10">IF(G71=J71,0,1)</f>
        <v>0</v>
      </c>
      <c r="L71">
        <f t="shared" ref="L71:L92" si="11">IF(G71=1,I71,1-I71)</f>
        <v>0.99999999756543934</v>
      </c>
      <c r="M71">
        <f t="shared" ref="M71:M92" si="12">IF(L71=0, 1000000, -LN(L71))</f>
        <v>2.4345606671408972E-9</v>
      </c>
    </row>
    <row r="72" spans="1:13" x14ac:dyDescent="0.35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7"/>
        <v>2.3753039525252135</v>
      </c>
      <c r="I72">
        <f t="shared" si="8"/>
        <v>0.91492461690059002</v>
      </c>
      <c r="J72">
        <f t="shared" si="9"/>
        <v>1</v>
      </c>
      <c r="K72">
        <f t="shared" si="10"/>
        <v>0</v>
      </c>
      <c r="L72">
        <f t="shared" si="11"/>
        <v>0.91492461690059002</v>
      </c>
      <c r="M72">
        <f t="shared" si="12"/>
        <v>8.8913603001515004E-2</v>
      </c>
    </row>
    <row r="73" spans="1:13" x14ac:dyDescent="0.35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7"/>
        <v>-53.328082486112933</v>
      </c>
      <c r="I73">
        <f t="shared" si="8"/>
        <v>6.9168450341374988E-24</v>
      </c>
      <c r="J73">
        <f t="shared" si="9"/>
        <v>0</v>
      </c>
      <c r="K73">
        <f t="shared" si="10"/>
        <v>0</v>
      </c>
      <c r="L73">
        <f t="shared" si="11"/>
        <v>1</v>
      </c>
      <c r="M73">
        <f t="shared" si="12"/>
        <v>0</v>
      </c>
    </row>
    <row r="74" spans="1:13" x14ac:dyDescent="0.35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7"/>
        <v>-0.52794643754044923</v>
      </c>
      <c r="I74">
        <f t="shared" si="8"/>
        <v>0.37099597609529883</v>
      </c>
      <c r="J74">
        <f t="shared" si="9"/>
        <v>0</v>
      </c>
      <c r="K74">
        <f t="shared" si="10"/>
        <v>0</v>
      </c>
      <c r="L74">
        <f t="shared" si="11"/>
        <v>0.62900402390470123</v>
      </c>
      <c r="M74">
        <f t="shared" si="12"/>
        <v>0.46361762499738779</v>
      </c>
    </row>
    <row r="75" spans="1:13" x14ac:dyDescent="0.35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7"/>
        <v>-6.7022061883600212</v>
      </c>
      <c r="I75">
        <f t="shared" si="8"/>
        <v>1.2266926495285613E-3</v>
      </c>
      <c r="J75">
        <f t="shared" si="9"/>
        <v>0</v>
      </c>
      <c r="K75">
        <f t="shared" si="10"/>
        <v>0</v>
      </c>
      <c r="L75">
        <f t="shared" si="11"/>
        <v>0.99877330735047143</v>
      </c>
      <c r="M75">
        <f t="shared" si="12"/>
        <v>1.2274456528221698E-3</v>
      </c>
    </row>
    <row r="76" spans="1:13" x14ac:dyDescent="0.35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7"/>
        <v>0.16518746302555787</v>
      </c>
      <c r="I76">
        <f t="shared" si="8"/>
        <v>0.54120321600910304</v>
      </c>
      <c r="J76">
        <f t="shared" si="9"/>
        <v>1</v>
      </c>
      <c r="K76">
        <f t="shared" si="10"/>
        <v>1</v>
      </c>
      <c r="L76">
        <f t="shared" si="11"/>
        <v>0.45879678399089696</v>
      </c>
      <c r="M76">
        <f t="shared" si="12"/>
        <v>0.77914790336156525</v>
      </c>
    </row>
    <row r="77" spans="1:13" x14ac:dyDescent="0.35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7"/>
        <v>2.2963839637173269</v>
      </c>
      <c r="I77">
        <f t="shared" si="8"/>
        <v>0.90857711731434598</v>
      </c>
      <c r="J77">
        <f t="shared" si="9"/>
        <v>1</v>
      </c>
      <c r="K77">
        <f t="shared" si="10"/>
        <v>0</v>
      </c>
      <c r="L77">
        <f t="shared" si="11"/>
        <v>0.90857711731434598</v>
      </c>
      <c r="M77">
        <f t="shared" si="12"/>
        <v>9.5875510527848845E-2</v>
      </c>
    </row>
    <row r="78" spans="1:13" x14ac:dyDescent="0.35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7"/>
        <v>0.8152644144797927</v>
      </c>
      <c r="I78">
        <f t="shared" si="8"/>
        <v>0.69323018313634011</v>
      </c>
      <c r="J78">
        <f t="shared" si="9"/>
        <v>1</v>
      </c>
      <c r="K78">
        <f t="shared" si="10"/>
        <v>0</v>
      </c>
      <c r="L78">
        <f t="shared" si="11"/>
        <v>0.69323018313634011</v>
      </c>
      <c r="M78">
        <f t="shared" si="12"/>
        <v>0.36639318034546675</v>
      </c>
    </row>
    <row r="79" spans="1:13" x14ac:dyDescent="0.35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7"/>
        <v>4.6324511294030479E-2</v>
      </c>
      <c r="I79">
        <f t="shared" si="8"/>
        <v>0.51157905721442776</v>
      </c>
      <c r="J79">
        <f t="shared" si="9"/>
        <v>1</v>
      </c>
      <c r="K79">
        <f t="shared" si="10"/>
        <v>0</v>
      </c>
      <c r="L79">
        <f t="shared" si="11"/>
        <v>0.51157905721442776</v>
      </c>
      <c r="M79">
        <f t="shared" si="12"/>
        <v>0.67025314597455532</v>
      </c>
    </row>
    <row r="80" spans="1:13" x14ac:dyDescent="0.35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7"/>
        <v>-7.4529788812042597</v>
      </c>
      <c r="I80">
        <f t="shared" si="8"/>
        <v>5.7937627246193609E-4</v>
      </c>
      <c r="J80">
        <f t="shared" si="9"/>
        <v>0</v>
      </c>
      <c r="K80">
        <f t="shared" si="10"/>
        <v>0</v>
      </c>
      <c r="L80">
        <f t="shared" si="11"/>
        <v>0.99942062372753804</v>
      </c>
      <c r="M80">
        <f t="shared" si="12"/>
        <v>5.7954417575042797E-4</v>
      </c>
    </row>
    <row r="81" spans="1:13" x14ac:dyDescent="0.35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7"/>
        <v>-3.2141692837722537</v>
      </c>
      <c r="I81">
        <f t="shared" si="8"/>
        <v>3.8635975532900158E-2</v>
      </c>
      <c r="J81">
        <f t="shared" si="9"/>
        <v>0</v>
      </c>
      <c r="K81">
        <f t="shared" si="10"/>
        <v>0</v>
      </c>
      <c r="L81">
        <f t="shared" si="11"/>
        <v>0.96136402446709979</v>
      </c>
      <c r="M81">
        <f t="shared" si="12"/>
        <v>3.9402144165108219E-2</v>
      </c>
    </row>
    <row r="82" spans="1:13" x14ac:dyDescent="0.35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7"/>
        <v>-4.3986564989994221</v>
      </c>
      <c r="I82">
        <f t="shared" si="8"/>
        <v>1.2144542476573083E-2</v>
      </c>
      <c r="J82">
        <f t="shared" si="9"/>
        <v>0</v>
      </c>
      <c r="K82">
        <f t="shared" si="10"/>
        <v>0</v>
      </c>
      <c r="L82">
        <f t="shared" si="11"/>
        <v>0.98785545752342696</v>
      </c>
      <c r="M82">
        <f t="shared" si="12"/>
        <v>1.2218889990084861E-2</v>
      </c>
    </row>
    <row r="83" spans="1:13" x14ac:dyDescent="0.35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7"/>
        <v>-12.105247512725235</v>
      </c>
      <c r="I83">
        <f t="shared" si="8"/>
        <v>5.5303854505840724E-6</v>
      </c>
      <c r="J83">
        <f t="shared" si="9"/>
        <v>0</v>
      </c>
      <c r="K83">
        <f t="shared" si="10"/>
        <v>0</v>
      </c>
      <c r="L83">
        <f t="shared" si="11"/>
        <v>0.99999446961454941</v>
      </c>
      <c r="M83">
        <f t="shared" si="12"/>
        <v>5.5304007432297004E-6</v>
      </c>
    </row>
    <row r="84" spans="1:13" x14ac:dyDescent="0.35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7"/>
        <v>-5.7237932693070679</v>
      </c>
      <c r="I84">
        <f t="shared" si="8"/>
        <v>3.2566531992474219E-3</v>
      </c>
      <c r="J84">
        <f t="shared" si="9"/>
        <v>0</v>
      </c>
      <c r="K84">
        <f t="shared" si="10"/>
        <v>0</v>
      </c>
      <c r="L84">
        <f t="shared" si="11"/>
        <v>0.99674334680075261</v>
      </c>
      <c r="M84">
        <f t="shared" si="12"/>
        <v>3.2619676355983471E-3</v>
      </c>
    </row>
    <row r="85" spans="1:13" x14ac:dyDescent="0.35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7"/>
        <v>0.12191720072128298</v>
      </c>
      <c r="I85">
        <f t="shared" si="8"/>
        <v>0.53044160301675314</v>
      </c>
      <c r="J85">
        <f t="shared" si="9"/>
        <v>1</v>
      </c>
      <c r="K85">
        <f t="shared" si="10"/>
        <v>1</v>
      </c>
      <c r="L85">
        <f t="shared" si="11"/>
        <v>0.46955839698324686</v>
      </c>
      <c r="M85">
        <f t="shared" si="12"/>
        <v>0.75596260684754912</v>
      </c>
    </row>
    <row r="86" spans="1:13" x14ac:dyDescent="0.35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7"/>
        <v>0.28097571448397218</v>
      </c>
      <c r="I86">
        <f t="shared" si="8"/>
        <v>0.56978541709419306</v>
      </c>
      <c r="J86">
        <f t="shared" si="9"/>
        <v>1</v>
      </c>
      <c r="K86">
        <f t="shared" si="10"/>
        <v>1</v>
      </c>
      <c r="L86">
        <f t="shared" si="11"/>
        <v>0.43021458290580694</v>
      </c>
      <c r="M86">
        <f t="shared" si="12"/>
        <v>0.84347116475509243</v>
      </c>
    </row>
    <row r="87" spans="1:13" x14ac:dyDescent="0.35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7"/>
        <v>-3.93643630092709</v>
      </c>
      <c r="I87">
        <f t="shared" si="8"/>
        <v>1.9144000155230215E-2</v>
      </c>
      <c r="J87">
        <f t="shared" si="9"/>
        <v>0</v>
      </c>
      <c r="K87">
        <f t="shared" si="10"/>
        <v>1</v>
      </c>
      <c r="L87">
        <f t="shared" si="11"/>
        <v>1.9144000155230215E-2</v>
      </c>
      <c r="M87">
        <f t="shared" si="12"/>
        <v>3.955765920267508</v>
      </c>
    </row>
    <row r="88" spans="1:13" x14ac:dyDescent="0.35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7"/>
        <v>-0.66328468977474841</v>
      </c>
      <c r="I88">
        <f t="shared" si="8"/>
        <v>0.34000213800466894</v>
      </c>
      <c r="J88">
        <f t="shared" si="9"/>
        <v>0</v>
      </c>
      <c r="K88">
        <f t="shared" si="10"/>
        <v>1</v>
      </c>
      <c r="L88">
        <f t="shared" si="11"/>
        <v>0.34000213800466894</v>
      </c>
      <c r="M88">
        <f t="shared" si="12"/>
        <v>1.0788033731426747</v>
      </c>
    </row>
    <row r="89" spans="1:13" x14ac:dyDescent="0.35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7"/>
        <v>1.7267191722579933</v>
      </c>
      <c r="I89">
        <f t="shared" si="8"/>
        <v>0.84899228517618719</v>
      </c>
      <c r="J89">
        <f t="shared" si="9"/>
        <v>1</v>
      </c>
      <c r="K89">
        <f t="shared" si="10"/>
        <v>0</v>
      </c>
      <c r="L89">
        <f t="shared" si="11"/>
        <v>0.84899228517618719</v>
      </c>
      <c r="M89">
        <f t="shared" si="12"/>
        <v>0.16370517966591946</v>
      </c>
    </row>
    <row r="90" spans="1:13" x14ac:dyDescent="0.35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7"/>
        <v>-24.787695656700652</v>
      </c>
      <c r="I90">
        <f t="shared" si="8"/>
        <v>1.7172778061171271E-11</v>
      </c>
      <c r="J90">
        <f t="shared" si="9"/>
        <v>0</v>
      </c>
      <c r="K90">
        <f t="shared" si="10"/>
        <v>0</v>
      </c>
      <c r="L90">
        <f t="shared" si="11"/>
        <v>0.99999999998282718</v>
      </c>
      <c r="M90">
        <f t="shared" si="12"/>
        <v>1.717281872274691E-11</v>
      </c>
    </row>
    <row r="91" spans="1:13" x14ac:dyDescent="0.35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7"/>
        <v>-3.2932812337692976</v>
      </c>
      <c r="I91">
        <f t="shared" si="8"/>
        <v>3.5802403066229373E-2</v>
      </c>
      <c r="J91">
        <f t="shared" si="9"/>
        <v>0</v>
      </c>
      <c r="K91">
        <f t="shared" si="10"/>
        <v>0</v>
      </c>
      <c r="L91">
        <f t="shared" si="11"/>
        <v>0.96419759693377061</v>
      </c>
      <c r="M91">
        <f t="shared" si="12"/>
        <v>3.6459029303940155E-2</v>
      </c>
    </row>
    <row r="92" spans="1:13" x14ac:dyDescent="0.35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7"/>
        <v>-2.5229622441192019</v>
      </c>
      <c r="I92">
        <f t="shared" si="8"/>
        <v>7.4264037164898239E-2</v>
      </c>
      <c r="J92">
        <f t="shared" si="9"/>
        <v>0</v>
      </c>
      <c r="K92">
        <f t="shared" si="10"/>
        <v>0</v>
      </c>
      <c r="L92">
        <f t="shared" si="11"/>
        <v>0.92573596283510173</v>
      </c>
      <c r="M92">
        <f t="shared" si="12"/>
        <v>7.7166222322438471E-2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2025-11-27T18:37:33Z</dcterms:modified>
</cp:coreProperties>
</file>